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Excel\"/>
    </mc:Choice>
  </mc:AlternateContent>
  <xr:revisionPtr revIDLastSave="0" documentId="8_{42400D71-CE79-41BB-86E7-457EFEA1A17D}" xr6:coauthVersionLast="47" xr6:coauthVersionMax="47" xr10:uidLastSave="{00000000-0000-0000-0000-000000000000}"/>
  <bookViews>
    <workbookView xWindow="0" yWindow="264" windowWidth="23040" windowHeight="12180" activeTab="2" xr2:uid="{26D4546B-D2A1-4444-8EAF-A6228F96F0C1}"/>
  </bookViews>
  <sheets>
    <sheet name="Pivot " sheetId="7" r:id="rId1"/>
    <sheet name="Data" sheetId="2" r:id="rId2"/>
    <sheet name="Dashboard" sheetId="5" r:id="rId3"/>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952" r:id="rId4"/>
    <pivotCache cacheId="1202" r:id="rId5"/>
    <pivotCache cacheId="2276" r:id="rId6"/>
    <pivotCache cacheId="2279" r:id="rId7"/>
    <pivotCache cacheId="2282" r:id="rId8"/>
    <pivotCache cacheId="2285" r:id="rId9"/>
    <pivotCache cacheId="2288" r:id="rId10"/>
    <pivotCache cacheId="2291" r:id="rId11"/>
    <pivotCache cacheId="2294" r:id="rId12"/>
  </pivotCaches>
  <extLst>
    <ext xmlns:x14="http://schemas.microsoft.com/office/spreadsheetml/2009/9/main" uri="{876F7934-8845-4945-9796-88D515C7AA90}">
      <x14:pivotCaches>
        <pivotCache cacheId="6"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7" i="5" l="1" a="1"/>
  <c r="R17" i="5" s="1"/>
  <c r="K36" i="7"/>
  <c r="A23" i="7" a="1"/>
  <c r="A23" i="7"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E23" i="7" l="1"/>
  <c r="D23" i="7"/>
  <c r="D26" i="7" s="1"/>
  <c r="D25" i="7"/>
  <c r="D24" i="7"/>
  <c r="E27" i="7" s="1"/>
  <c r="E25" i="7"/>
  <c r="E24" i="7"/>
  <c r="D27" i="7" l="1"/>
  <c r="E2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59D81F-C32F-4CD8-9C20-054F646208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613B456-F6E9-4C7D-86BC-EFCB3D619BDA}"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CE6731EC-79D4-4FEE-89CC-EBA475DF14AC}"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<sst xmlns="http://schemas.openxmlformats.org/spreadsheetml/2006/main" count="3155" uniqueCount="1070">
  <si>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</si>
  <si>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</si>
  <si>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</si>
  <si>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</si>
  <si>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</si>
  <si>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</si>
  <si>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</si>
  <si>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</si>
  <si>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</si>
  <si>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</si>
  <si>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</si>
  <si>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</si>
  <si>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</si>
  <si>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</si>
  <si>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</si>
  <si>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</si>
  <si>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</si>
  <si>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</si>
  <si>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</si>
  <si>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</si>
  <si>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</si>
  <si>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</si>
  <si>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</si>
  <si>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</si>
  <si>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</si>
  <si>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</si>
  <si>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</si>
  <si>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</si>
  <si>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</si>
  <si>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</si>
  <si>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</si>
  <si>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</si>
  <si>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</si>
  <si>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</si>
  <si>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</si>
  <si>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</si>
  <si>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</si>
  <si>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</si>
  <si>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</si>
  <si>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</si>
  <si>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</si>
  <si>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</si>
  <si>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</si>
  <si>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</si>
  <si>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</si>
  <si>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</si>
  <si>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</si>
  <si>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</si>
  <si>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</si>
  <si>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</si>
  <si>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</si>
  <si>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</si>
  <si>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</si>
  <si>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</si>
  <si>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</si>
  <si>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</si>
  <si>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</si>
  <si>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</si>
  <si>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</si>
  <si>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</si>
  <si>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</si>
  <si>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</si>
  <si>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</si>
  <si>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</si>
  <si>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</si>
  <si>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</si>
  <si>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</si>
  <si>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</si>
  <si>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</si>
  <si>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</si>
  <si>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</si>
  <si>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</si>
  <si>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</si>
  <si>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</si>
  <si>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</si>
  <si>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</si>
  <si>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</si>
  <si>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</si>
  <si>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</si>
  <si>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</si>
  <si>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</si>
  <si>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</si>
  <si>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</si>
  <si>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</si>
  <si>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</si>
  <si>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</si>
  <si>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</si>
  <si>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</si>
  <si>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</si>
  <si>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</si>
  <si>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</si>
  <si>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</si>
  <si>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</si>
  <si>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</si>
  <si>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</si>
  <si>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</si>
  <si>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</si>
  <si>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</si>
  <si>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</si>
  <si>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</si>
  <si>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</si>
  <si>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</si>
  <si>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</si>
  <si>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</si>
  <si>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</si>
  <si>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</si>
  <si>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</si>
  <si>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</si>
  <si>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</si>
  <si>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</si>
  <si>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</si>
  <si>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</si>
  <si>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</si>
  <si>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</si>
  <si>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</si>
  <si>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</si>
  <si>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</si>
  <si>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</si>
  <si>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</si>
  <si>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</si>
  <si>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</si>
  <si>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</si>
  <si>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</si>
  <si>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</si>
  <si>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</si>
  <si>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</si>
  <si>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</si>
  <si>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</si>
  <si>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</si>
  <si>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</si>
  <si>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</si>
  <si>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</si>
  <si>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</si>
  <si>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</si>
  <si>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</si>
  <si>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</si>
  <si>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</si>
  <si>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</si>
  <si>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</si>
  <si>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</si>
  <si>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</si>
  <si>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</si>
  <si>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</si>
  <si>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</si>
  <si>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</si>
  <si>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</si>
  <si>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</si>
  <si>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</si>
  <si>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</si>
  <si>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</si>
  <si>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</si>
  <si>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</si>
  <si>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</si>
  <si>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</si>
  <si>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</si>
  <si>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</si>
  <si>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</si>
  <si>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</si>
  <si>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</si>
  <si>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</si>
  <si>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</si>
  <si>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</si>
  <si>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</si>
  <si>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</si>
  <si>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</si>
  <si>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</si>
  <si>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</si>
  <si>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</si>
  <si>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</si>
  <si>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</si>
  <si>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</si>
  <si>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</si>
  <si>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</si>
  <si>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</si>
  <si>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</si>
  <si>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</si>
  <si>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</si>
  <si>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</si>
  <si>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</si>
  <si>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</si>
  <si>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</si>
  <si>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</si>
  <si>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</si>
  <si>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</si>
  <si>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</si>
  <si>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</si>
  <si>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</si>
  <si>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</si>
  <si>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</si>
  <si>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</si>
  <si>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</si>
  <si>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</si>
  <si>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</si>
  <si>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</si>
  <si>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</si>
  <si>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</si>
  <si>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</si>
  <si>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</si>
  <si>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</si>
  <si>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</si>
  <si>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</si>
  <si>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</si>
  <si>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</si>
  <si>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</si>
  <si>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</si>
  <si>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</si>
  <si>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</si>
  <si>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</si>
  <si>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</si>
  <si>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</si>
  <si>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</si>
  <si>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</si>
  <si>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</si>
  <si>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</si>
  <si>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</si>
  <si>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</si>
  <si>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</si>
  <si>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</si>
  <si>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</si>
  <si>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</si>
  <si>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</si>
  <si>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</si>
  <si>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</si>
  <si>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</si>
  <si>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</si>
  <si>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</si>
  <si>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</si>
  <si>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</si>
  <si>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</si>
  <si>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</si>
  <si>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</si>
  <si>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</si>
  <si>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</si>
  <si>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</si>
  <si>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</si>
  <si>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</si>
  <si>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</si>
  <si>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</si>
  <si>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</si>
  <si>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</si>
  <si>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</si>
  <si>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</si>
  <si>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</si>
  <si>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</si>
  <si>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</si>
  <si>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</si>
  <si>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</si>
  <si>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</si>
  <si>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</si>
  <si>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</si>
  <si>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</si>
  <si>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</si>
  <si>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</si>
  <si>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</si>
  <si>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</si>
  <si>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</si>
  <si>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</si>
  <si>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</si>
  <si>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</si>
  <si>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</si>
  <si>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</si>
  <si>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</si>
  <si>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</si>
  <si>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</si>
  <si>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</si>
  <si>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</si>
  <si>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</si>
  <si>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</si>
  <si>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</si>
  <si>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</si>
  <si>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</si>
  <si>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</si>
  <si>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</si>
  <si>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</si>
  <si>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</si>
  <si>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</si>
  <si>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</si>
  <si>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</si>
  <si>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</si>
  <si>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</si>
  <si>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</si>
  <si>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</si>
  <si>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</si>
  <si>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</si>
  <si>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</si>
  <si>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</si>
  <si>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</si>
  <si>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</si>
  <si>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</si>
  <si>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</si>
  <si>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</si>
  <si>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</si>
  <si>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</si>
  <si>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</si>
  <si>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</si>
  <si>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</si>
  <si>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</si>
  <si>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</si>
  <si>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</si>
  <si>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</si>
  <si>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</si>
  <si>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</si>
  <si>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</si>
  <si>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</si>
  <si>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</si>
  <si>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</si>
  <si>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</si>
  <si>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</si>
  <si>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</si>
  <si>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</si>
  <si>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</si>
  <si>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</si>
  <si>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</si>
  <si>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</si>
  <si>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</si>
  <si>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</si>
  <si>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</si>
  <si>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</si>
  <si>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</si>
  <si>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</si>
  <si>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</si>
  <si>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</si>
  <si>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</si>
  <si>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</si>
  <si>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</si>
  <si>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</si>
  <si>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</si>
  <si>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</si>
  <si>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</si>
  <si>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</si>
  <si>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</si>
  <si>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</si>
  <si>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</si>
  <si>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</si>
  <si>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</si>
  <si>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</si>
  <si>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</si>
  <si>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</si>
  <si>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</si>
  <si>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</si>
  <si>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</si>
  <si>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</si>
  <si>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</si>
  <si>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</si>
  <si>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</si>
  <si>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</si>
  <si>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</si>
  <si>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</si>
  <si>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</si>
  <si>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</si>
  <si>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</si>
  <si>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</si>
  <si>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</si>
  <si>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</si>
  <si>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</si>
  <si>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</si>
  <si>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</si>
  <si>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</si>
  <si>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</si>
  <si>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</si>
  <si>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</si>
  <si>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</si>
  <si>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</si>
  <si>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</si>
  <si>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</si>
  <si>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</si>
  <si>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</si>
  <si>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</si>
  <si>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</si>
  <si>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</si>
  <si>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</si>
  <si>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</si>
  <si>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</si>
  <si>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</si>
  <si>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</si>
  <si>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</si>
  <si>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</si>
  <si>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</si>
  <si>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</si>
  <si>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</si>
  <si>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</si>
  <si>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</si>
  <si>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</si>
  <si>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</si>
  <si>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</si>
  <si>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</si>
  <si>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</si>
  <si>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</si>
  <si>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</si>
  <si>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</si>
  <si>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</si>
  <si>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</si>
  <si>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</si>
  <si>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</si>
  <si>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</si>
  <si>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</si>
  <si>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</si>
  <si>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</si>
  <si>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</si>
  <si>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</si>
  <si>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</si>
  <si>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</si>
  <si>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</si>
  <si>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</si>
  <si>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</si>
  <si>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</si>
  <si>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</si>
  <si>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</si>
  <si>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</si>
  <si>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</si>
  <si>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</si>
  <si>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</si>
  <si>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</si>
  <si>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</si>
  <si>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</si>
  <si>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</si>
  <si>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</si>
  <si>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</si>
  <si>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</si>
  <si>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</si>
  <si>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</si>
  <si>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</si>
  <si>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</si>
  <si>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</si>
  <si>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</si>
  <si>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</si>
  <si>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</si>
  <si>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</si>
  <si>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</si>
  <si>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</si>
  <si>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</si>
  <si>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</si>
  <si>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</si>
  <si>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</si>
  <si>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</si>
  <si>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</si>
  <si>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</si>
  <si>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</si>
  <si>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</si>
  <si>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</si>
  <si>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</si>
  <si>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</si>
  <si>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</si>
  <si>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</si>
  <si>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</si>
  <si>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</si>
  <si>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</si>
  <si>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</si>
  <si>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</si>
  <si>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</si>
  <si>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</si>
  <si>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</si>
  <si>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</si>
  <si>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</si>
  <si>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</si>
  <si>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</si>
  <si>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</si>
  <si>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</si>
  <si>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</si>
  <si>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</si>
  <si>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</si>
  <si>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</si>
  <si>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</si>
  <si>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</si>
  <si>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</si>
  <si>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</si>
  <si>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</si>
  <si>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</si>
  <si>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</si>
  <si>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</si>
  <si>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</si>
  <si>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</si>
  <si>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</si>
  <si>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</si>
  <si>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</si>
  <si>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</si>
  <si>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</si>
  <si>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</si>
  <si>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</si>
  <si>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</si>
  <si>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</si>
  <si>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</si>
  <si>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</si>
  <si>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</si>
  <si>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</si>
  <si>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</si>
  <si>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</si>
  <si>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</si>
  <si>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</si>
  <si>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</si>
  <si>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</si>
  <si>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</si>
  <si>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</si>
  <si>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</si>
  <si>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</si>
  <si>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</si>
  <si>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</si>
  <si>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</si>
  <si>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</si>
  <si>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</si>
  <si>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</si>
  <si>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</si>
  <si>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</si>
  <si>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</si>
  <si>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</si>
  <si>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</si>
  <si>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</si>
  <si>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</si>
  <si>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</si>
  <si>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</si>
  <si>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</si>
  <si>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</si>
  <si>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</si>
  <si>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</si>
  <si>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</si>
  <si>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</si>
  <si>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</si>
  <si>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</si>
  <si>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</si>
  <si>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</si>
  <si>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</si>
  <si>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</si>
  <si>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</si>
  <si>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</si>
  <si>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</si>
  <si>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</si>
  <si>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</si>
  <si>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</si>
  <si>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</si>
  <si>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</si>
  <si>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</si>
  <si>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</si>
  <si>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</si>
  <si>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</si>
  <si>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</si>
  <si>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</si>
  <si>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</si>
  <si>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</si>
  <si>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</si>
  <si>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</si>
  <si>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</si>
  <si>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</si>
  <si>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</si>
  <si>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</si>
  <si>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</si>
  <si>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</si>
  <si>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</si>
  <si>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</si>
  <si>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</si>
  <si>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</si>
  <si>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</si>
  <si>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</si>
  <si>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</si>
  <si>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</si>
  <si>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</si>
  <si>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</si>
  <si>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</si>
  <si>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</si>
  <si>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</si>
  <si>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</si>
  <si>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</si>
  <si>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</si>
  <si>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</si>
  <si>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</si>
  <si>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</si>
  <si>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</si>
  <si>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</si>
  <si>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</si>
  <si>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</si>
  <si>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</si>
  <si>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</si>
  <si>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</si>
  <si>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</si>
  <si>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</si>
  <si>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</si>
  <si>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</si>
  <si>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</si>
  <si>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</si>
  <si>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</si>
  <si>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</si>
  <si>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</si>
  <si>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</si>
  <si>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</si>
  <si>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</si>
  <si>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</si>
  <si>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</si>
  <si>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</si>
  <si>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</si>
  <si>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</si>
  <si>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</si>
  <si>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</si>
  <si>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</si>
  <si>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</si>
  <si>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</si>
  <si>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</si>
  <si>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</si>
  <si>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</si>
  <si>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</si>
  <si>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</si>
  <si>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</si>
  <si>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</si>
  <si>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</si>
  <si>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</si>
  <si>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</si>
  <si>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</si>
  <si>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</si>
  <si>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</si>
  <si>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</si>
  <si>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</si>
  <si>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</si>
  <si>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</si>
  <si>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</si>
  <si>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</si>
  <si>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</si>
  <si>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</si>
  <si>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</si>
  <si>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</si>
  <si>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</si>
  <si>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</si>
  <si>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</si>
  <si>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</si>
  <si>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</si>
  <si>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</si>
  <si>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</si>
  <si>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</si>
  <si>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</si>
  <si>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</si>
  <si>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</si>
  <si>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</si>
  <si>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</si>
  <si>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</si>
  <si>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</si>
  <si>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</si>
  <si>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</si>
  <si>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</si>
  <si>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</si>
  <si>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</si>
  <si>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</si>
  <si>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</si>
  <si>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</si>
  <si>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</si>
  <si>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</si>
  <si>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</si>
  <si>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</si>
  <si>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</si>
  <si>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</si>
  <si>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</si>
  <si>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</si>
  <si>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</si>
  <si>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</si>
  <si>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</si>
  <si>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</si>
  <si>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</si>
  <si>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</si>
  <si>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</si>
  <si>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</si>
  <si>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</si>
  <si>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</si>
  <si>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</si>
  <si>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</si>
  <si>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</si>
  <si>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</si>
  <si>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</si>
  <si>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</si>
  <si>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</si>
  <si>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</si>
  <si>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</si>
  <si>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</si>
  <si>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</si>
  <si>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</si>
  <si>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</si>
  <si>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</si>
  <si>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</si>
  <si>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</si>
  <si>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</si>
  <si>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</si>
  <si>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</si>
  <si>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</si>
  <si>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</si>
  <si>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</si>
  <si>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</si>
  <si>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</si>
  <si>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</si>
  <si>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</si>
  <si>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</si>
  <si>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</si>
  <si>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</si>
  <si>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</si>
  <si>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</si>
  <si>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</si>
  <si>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</si>
  <si>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</si>
  <si>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</si>
  <si>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</si>
  <si>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</si>
  <si>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</si>
  <si>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</si>
  <si>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</si>
  <si>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</si>
  <si>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</si>
  <si>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</si>
  <si>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</si>
  <si>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</si>
  <si>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</si>
  <si>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</si>
  <si>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</si>
  <si>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</si>
  <si>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</si>
  <si>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</si>
  <si>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</si>
  <si>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</si>
  <si>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</si>
  <si>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</si>
  <si>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</si>
  <si>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</si>
  <si>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</si>
  <si>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</si>
  <si>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</si>
  <si>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</si>
  <si>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</si>
  <si>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</si>
  <si>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</si>
  <si>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</si>
  <si>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</si>
  <si>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</si>
  <si>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</si>
  <si>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</si>
  <si>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</si>
  <si>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</si>
  <si>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</si>
  <si>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</si>
  <si>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</si>
  <si>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</si>
  <si>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</si>
  <si>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</si>
  <si>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</si>
  <si>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</si>
  <si>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</si>
  <si>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</si>
  <si>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</si>
  <si>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</si>
  <si>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</si>
  <si>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</si>
  <si>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</si>
  <si>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</si>
  <si>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</si>
  <si>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</si>
  <si>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</si>
  <si>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</si>
  <si>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</si>
  <si>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</si>
  <si>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</si>
  <si>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</si>
  <si>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</si>
  <si>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</si>
  <si>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</si>
  <si>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</si>
  <si>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</si>
  <si>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</si>
  <si>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</si>
  <si>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</si>
  <si>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</si>
  <si>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</si>
  <si>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</si>
  <si>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</si>
  <si>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</si>
  <si>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</si>
  <si>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</si>
  <si>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</si>
  <si>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</si>
  <si>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</si>
  <si>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</si>
  <si>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</si>
  <si>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</si>
  <si>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</si>
  <si>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</si>
  <si>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</si>
  <si>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</si>
  <si>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</si>
  <si>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</si>
  <si>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</si>
  <si>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</si>
  <si>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</si>
  <si>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</si>
  <si>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</si>
  <si>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</si>
  <si>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</si>
  <si>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</si>
  <si>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</si>
  <si>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</si>
  <si>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</si>
  <si>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</si>
  <si>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</si>
  <si>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</si>
  <si>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</si>
  <si>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</si>
  <si>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</si>
  <si>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</si>
  <si>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</si>
  <si>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</si>
  <si>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</si>
  <si>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</si>
  <si>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</si>
  <si>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</si>
  <si>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</si>
  <si>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</si>
  <si>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</si>
  <si>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</si>
  <si>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</si>
  <si>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</si>
  <si>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</si>
  <si>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</si>
  <si>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</si>
  <si>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</si>
  <si>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</si>
  <si>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</si>
  <si>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</si>
  <si>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</si>
  <si>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</si>
  <si>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</si>
  <si>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</si>
  <si>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</si>
  <si>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</si>
  <si>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</si>
  <si>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</si>
  <si>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</si>
  <si>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</si>
  <si>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</si>
  <si>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</si>
  <si>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</si>
  <si>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</si>
  <si>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</si>
  <si>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</si>
  <si>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</si>
  <si>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</si>
  <si>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</si>
  <si>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</si>
  <si>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</si>
  <si>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</si>
  <si>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</si>
  <si>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</si>
  <si>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</si>
  <si>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</si>
  <si>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</si>
  <si>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</si>
  <si>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</si>
  <si>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</si>
  <si>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</si>
  <si>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</si>
  <si>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</si>
  <si>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</si>
  <si>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</si>
  <si>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</si>
  <si>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</si>
  <si>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</si>
  <si>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</si>
  <si>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</si>
  <si>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</si>
  <si>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</si>
  <si>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</si>
  <si>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</si>
  <si>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</si>
  <si>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</si>
  <si>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</si>
  <si>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</si>
  <si>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</si>
  <si>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</si>
  <si>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</si>
  <si>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</si>
  <si>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</si>
  <si>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</si>
  <si>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</si>
  <si>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</si>
  <si>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</si>
  <si>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</si>
  <si>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</si>
  <si>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</si>
  <si>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</si>
  <si>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</si>
  <si>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</si>
  <si>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</si>
  <si>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</si>
  <si>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</si>
  <si>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</si>
  <si>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</si>
  <si>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</si>
  <si>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</si>
  <si>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</si>
  <si>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</si>
  <si>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</si>
  <si>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</si>
  <si>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</si>
  <si>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</si>
  <si>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</si>
  <si>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</si>
  <si>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</si>
  <si>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</si>
  <si>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</si>
  <si>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</si>
  <si>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</si>
  <si>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</si>
  <si>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</si>
  <si>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</si>
  <si>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</si>
  <si>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</si>
  <si>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</si>
  <si>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</si>
  <si>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</si>
  <si>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</si>
  <si>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</si>
  <si>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</si>
  <si>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</si>
  <si>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</si>
  <si>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</si>
  <si>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</si>
  <si>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</si>
  <si>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</si>
  <si>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</si>
  <si>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</si>
  <si>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</si>
  <si>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</si>
  <si>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</si>
  <si>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</si>
  <si>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</si>
  <si>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</si>
  <si>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</si>
  <si>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</si>
  <si>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</si>
  <si>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</si>
  <si>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</si>
  <si>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</si>
  <si>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</si>
  <si>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</si>
  <si>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</si>
  <si>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</si>
  <si>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</si>
  <si>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</si>
  <si>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</si>
  <si>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</si>
  <si>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</si>
  <si>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</si>
  <si>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</si>
  <si>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</si>
  <si>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</si>
  <si>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</si>
  <si>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</si>
  <si>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</si>
  <si>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</si>
  <si>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</si>
  <si>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</si>
  <si>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</si>
  <si>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</si>
  <si>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</si>
  <si>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</si>
  <si>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</si>
  <si>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</si>
  <si>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</si>
  <si>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</si>
  <si>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</si>
  <si>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</si>
  <si>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</si>
  <si>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</si>
  <si>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</si>
  <si>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</si>
  <si>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</si>
  <si>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</si>
  <si>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</si>
  <si>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</si>
  <si>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</si>
  <si>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</si>
  <si>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</si>
  <si>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</si>
  <si>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</si>
  <si>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</si>
  <si>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</si>
  <si>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</si>
  <si>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</si>
  <si>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</si>
  <si>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</si>
  <si>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</si>
  <si>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</si>
  <si>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</si>
  <si>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</si>
  <si>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</si>
  <si>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</si>
  <si>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</si>
  <si>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</si>
  <si>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</si>
  <si>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</si>
  <si>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</si>
  <si>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</si>
  <si>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</si>
  <si>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</si>
  <si>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</si>
  <si>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</si>
  <si>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</si>
  <si>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</si>
  <si>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</si>
  <si>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</si>
  <si>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</si>
  <si>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</si>
  <si>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</si>
  <si>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</si>
  <si>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</si>
  <si>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</si>
  <si>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</si>
  <si>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</si>
  <si>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</si>
  <si>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</si>
  <si>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</si>
  <si>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</si>
  <si>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</si>
  <si>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</si>
  <si>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</si>
  <si>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</si>
  <si>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</si>
  <si>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</si>
  <si>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</si>
  <si>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</si>
  <si>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</si>
  <si>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</si>
  <si>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</si>
  <si>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</si>
  <si>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</si>
  <si>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</si>
  <si>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</si>
  <si>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</si>
  <si>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</si>
  <si>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</si>
  <si>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</si>
  <si>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</si>
  <si>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</si>
  <si>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</si>
  <si>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</si>
  <si>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</si>
  <si>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</si>
  <si>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</si>
  <si>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</si>
  <si>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</si>
  <si>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</si>
  <si>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Row Labels</t>
  </si>
  <si>
    <t>Grand Total</t>
  </si>
  <si>
    <t>Sunday</t>
  </si>
  <si>
    <t>Monday</t>
  </si>
  <si>
    <t>Tuesday</t>
  </si>
  <si>
    <t>Wednesday</t>
  </si>
  <si>
    <t>Thursday</t>
  </si>
  <si>
    <t>Friday</t>
  </si>
  <si>
    <t>Saturday</t>
  </si>
  <si>
    <t>Calls count</t>
  </si>
  <si>
    <t>Total amount</t>
  </si>
  <si>
    <t>Total duration</t>
  </si>
  <si>
    <t>Average rating</t>
  </si>
  <si>
    <t>5*Calls</t>
  </si>
  <si>
    <t>Jan</t>
  </si>
  <si>
    <t>Feb</t>
  </si>
  <si>
    <t>Mar</t>
  </si>
  <si>
    <t>Apr</t>
  </si>
  <si>
    <t>May</t>
  </si>
  <si>
    <t>Jun</t>
  </si>
  <si>
    <t>Jul</t>
  </si>
  <si>
    <t>Aug</t>
  </si>
  <si>
    <t>Sep</t>
  </si>
  <si>
    <t>Oct</t>
  </si>
  <si>
    <t>Nov</t>
  </si>
  <si>
    <t xml:space="preserve"> </t>
  </si>
  <si>
    <t>Calls count2</t>
  </si>
  <si>
    <t>sel.calls</t>
  </si>
  <si>
    <t>sel.amount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</si>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</sst>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quot;₹&quot;\ #,##0;#,##0\ \-&quot;₹&quot;;&quot;₹&quot;\ #,##0"/>
    <numFmt numFmtId="166" formatCode="0.0"/>
    <numFmt numFmtId="167" formatCode="[$$-45C]#.0,\k"/>
    <numFmt numFmtId="168" formatCode="&quot;₹&quot;\ #,##0;#,##0\ \-&quot;₹&quot;;&quot;₹&quot;\ #,##0"/>
    <numFmt numFmtId="169" formatCode="[$$-45C]#,##0"/>
  </numFmts>
  <fonts count="5"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s>
  <fills count="4">
    <fill>
      <patternFill patternType="none"/>
    </fill>
    <fill>
      <patternFill patternType="gray125"/>
    </fill>
    <fill>
      <patternFill patternType="solid">
        <fgColor theme="7"/>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3">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0" fontId="0" fillId="0" borderId="0" xfId="0" applyNumberFormat="1"/>
    <xf numFmtId="0" fontId="0" fillId="0" borderId="0" xfId="0" applyAlignment="1">
      <alignment horizontal="left" indent="1"/>
    </xf>
    <xf numFmtId="0" fontId="4" fillId="3" borderId="0" xfId="0" applyFont="1" applyFill="1" applyAlignment="1">
      <alignment horizontal="left" indent="1"/>
    </xf>
    <xf numFmtId="0" fontId="4" fillId="3" borderId="0" xfId="0" applyFont="1" applyFill="1"/>
    <xf numFmtId="169" fontId="4" fillId="3" borderId="0" xfId="0" applyNumberFormat="1" applyFont="1" applyFill="1"/>
  </cellXfs>
  <cellStyles count="1">
    <cellStyle name="Normal" xfId="0" builtinId="0"/>
  </cellStyles>
  <dxfs count="19">
    <dxf>
      <fill>
        <patternFill>
          <bgColor theme="8" tint="-0.24994659260841701"/>
        </patternFill>
      </fill>
      <border>
        <left style="thin">
          <color auto="1"/>
        </left>
        <right style="thin">
          <color auto="1"/>
        </right>
        <vertical/>
        <horizontal/>
      </border>
    </dxf>
    <dxf>
      <fill>
        <patternFill>
          <bgColor theme="0" tint="-0.499984740745262"/>
        </patternFill>
      </fill>
      <border>
        <left style="thin">
          <color auto="1"/>
        </left>
        <right style="thin">
          <color auto="1"/>
        </right>
        <vertical/>
        <horizontal/>
      </border>
    </dxf>
    <dxf>
      <fill>
        <patternFill>
          <bgColor theme="8" tint="-0.24994659260841701"/>
        </patternFill>
      </fill>
      <border>
        <left style="thin">
          <color auto="1"/>
        </left>
        <right style="thin">
          <color auto="1"/>
        </right>
        <vertical/>
        <horizontal/>
      </border>
    </dxf>
    <dxf>
      <fill>
        <patternFill>
          <bgColor theme="0" tint="-0.499984740745262"/>
        </patternFill>
      </fill>
      <border>
        <left style="thin">
          <color auto="1"/>
        </left>
        <right style="thin">
          <color auto="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 Style 2" pivot="0" table="0" count="1" xr9:uid="{247ECF2A-1FC4-43BE-8EA1-D5B139951F72}"/>
  </tableStyles>
  <extLst>
    <ext xmlns:x14="http://schemas.microsoft.com/office/spreadsheetml/2009/9/main" uri="{46F421CA-312F-682f-3DD2-61675219B42D}">
      <x14:dxfs count="1">
        <dxf>
          <font>
            <b/>
            <i val="0"/>
          </font>
        </dxf>
      </x14:dxfs>
    </ext>
    <ext xmlns:x14="http://schemas.microsoft.com/office/spreadsheetml/2009/9/main" uri="{EB79DEF2-80B8-43e5-95BD-54CBDDF9020C}">
      <x14:slicerStyles defaultSlicerStyle="SlicerStyleLight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5"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!PivotTable6</c:name>
    <c:fmtId val="1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rgbClr val="002060"/>
              </a:gs>
              <a:gs pos="0">
                <a:schemeClr val="accent1">
                  <a:lumMod val="40000"/>
                  <a:lumOff val="60000"/>
                </a:schemeClr>
              </a:gs>
              <a:gs pos="85300">
                <a:srgbClr val="00B0F0"/>
              </a:gs>
              <a:gs pos="100000">
                <a:schemeClr val="tx2">
                  <a:lumMod val="75000"/>
                </a:schemeClr>
              </a:gs>
            </a:gsLst>
            <a:lin ang="5400000" scaled="1"/>
          </a:gradFill>
          <a:ln>
            <a:gradFill>
              <a:gsLst>
                <a:gs pos="100000">
                  <a:schemeClr val="tx2">
                    <a:lumMod val="75000"/>
                    <a:alpha val="86000"/>
                  </a:schemeClr>
                </a:gs>
                <a:gs pos="0">
                  <a:schemeClr val="accent1">
                    <a:lumMod val="40000"/>
                    <a:lumOff val="60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 '!$I$3</c:f>
              <c:strCache>
                <c:ptCount val="1"/>
                <c:pt idx="0">
                  <c:v>Calls count2</c:v>
                </c:pt>
              </c:strCache>
            </c:strRef>
          </c:tx>
          <c:spPr>
            <a:gradFill>
              <a:gsLst>
                <a:gs pos="100000">
                  <a:srgbClr val="002060"/>
                </a:gs>
                <a:gs pos="0">
                  <a:schemeClr val="accent1">
                    <a:lumMod val="40000"/>
                    <a:lumOff val="60000"/>
                  </a:schemeClr>
                </a:gs>
                <a:gs pos="85300">
                  <a:srgbClr val="00B0F0"/>
                </a:gs>
                <a:gs pos="100000">
                  <a:schemeClr val="tx2">
                    <a:lumMod val="75000"/>
                  </a:schemeClr>
                </a:gs>
              </a:gsLst>
              <a:lin ang="5400000" scaled="1"/>
            </a:gradFill>
            <a:ln>
              <a:gradFill>
                <a:gsLst>
                  <a:gs pos="100000">
                    <a:schemeClr val="tx2">
                      <a:lumMod val="75000"/>
                      <a:alpha val="86000"/>
                    </a:schemeClr>
                  </a:gs>
                  <a:gs pos="0">
                    <a:schemeClr val="accent1">
                      <a:lumMod val="40000"/>
                      <a:lumOff val="60000"/>
                    </a:schemeClr>
                  </a:gs>
                  <a:gs pos="100000">
                    <a:schemeClr val="accent1">
                      <a:lumMod val="30000"/>
                      <a:lumOff val="70000"/>
                    </a:schemeClr>
                  </a:gs>
                </a:gsLst>
                <a:lin ang="5400000" scaled="1"/>
              </a:gradFill>
            </a:ln>
            <a:effectLst/>
          </c:spPr>
          <c:cat>
            <c:strRef>
              <c:f>'Pivot '!$G$4:$G$16</c:f>
              <c:strCache>
                <c:ptCount val="12"/>
                <c:pt idx="0">
                  <c:v>Jan</c:v>
                </c:pt>
                <c:pt idx="1">
                  <c:v>Feb</c:v>
                </c:pt>
                <c:pt idx="2">
                  <c:v>Mar</c:v>
                </c:pt>
                <c:pt idx="3">
                  <c:v>Apr</c:v>
                </c:pt>
                <c:pt idx="4">
                  <c:v>May</c:v>
                </c:pt>
                <c:pt idx="5">
                  <c:v>Jun</c:v>
                </c:pt>
                <c:pt idx="6">
                  <c:v>Jul</c:v>
                </c:pt>
                <c:pt idx="7">
                  <c:v>Aug</c:v>
                </c:pt>
                <c:pt idx="8">
                  <c:v>Sep</c:v>
                </c:pt>
                <c:pt idx="9">
                  <c:v>Oct</c:v>
                </c:pt>
                <c:pt idx="10">
                  <c:v>Nov</c:v>
                </c:pt>
                <c:pt idx="11">
                  <c:v> </c:v>
                </c:pt>
              </c:strCache>
            </c:strRef>
          </c:cat>
          <c:val>
            <c:numRef>
              <c:f>'Pivot '!$I$4:$I$16</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B2CF-4E68-BC8A-BF29503AE69F}"/>
            </c:ext>
          </c:extLst>
        </c:ser>
        <c:dLbls>
          <c:showLegendKey val="0"/>
          <c:showVal val="0"/>
          <c:showCatName val="0"/>
          <c:showSerName val="0"/>
          <c:showPercent val="0"/>
          <c:showBubbleSize val="0"/>
        </c:dLbls>
        <c:axId val="1100317775"/>
        <c:axId val="200126447"/>
      </c:areaChart>
      <c:lineChart>
        <c:grouping val="standard"/>
        <c:varyColors val="0"/>
        <c:ser>
          <c:idx val="0"/>
          <c:order val="0"/>
          <c:tx>
            <c:strRef>
              <c:f>'Pivot '!$H$3</c:f>
              <c:strCache>
                <c:ptCount val="1"/>
                <c:pt idx="0">
                  <c:v>Calls count</c:v>
                </c:pt>
              </c:strCache>
            </c:strRef>
          </c:tx>
          <c:spPr>
            <a:ln w="28575" cap="rnd">
              <a:solidFill>
                <a:schemeClr val="accent1"/>
              </a:solidFill>
              <a:round/>
            </a:ln>
            <a:effectLst/>
          </c:spPr>
          <c:marker>
            <c:symbol val="none"/>
          </c:marker>
          <c:cat>
            <c:strRef>
              <c:f>'Pivot '!$G$4:$G$16</c:f>
              <c:strCache>
                <c:ptCount val="12"/>
                <c:pt idx="0">
                  <c:v>Jan</c:v>
                </c:pt>
                <c:pt idx="1">
                  <c:v>Feb</c:v>
                </c:pt>
                <c:pt idx="2">
                  <c:v>Mar</c:v>
                </c:pt>
                <c:pt idx="3">
                  <c:v>Apr</c:v>
                </c:pt>
                <c:pt idx="4">
                  <c:v>May</c:v>
                </c:pt>
                <c:pt idx="5">
                  <c:v>Jun</c:v>
                </c:pt>
                <c:pt idx="6">
                  <c:v>Jul</c:v>
                </c:pt>
                <c:pt idx="7">
                  <c:v>Aug</c:v>
                </c:pt>
                <c:pt idx="8">
                  <c:v>Sep</c:v>
                </c:pt>
                <c:pt idx="9">
                  <c:v>Oct</c:v>
                </c:pt>
                <c:pt idx="10">
                  <c:v>Nov</c:v>
                </c:pt>
                <c:pt idx="11">
                  <c:v> </c:v>
                </c:pt>
              </c:strCache>
            </c:strRef>
          </c:cat>
          <c:val>
            <c:numRef>
              <c:f>'Pivot '!$H$4:$H$16</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B2CF-4E68-BC8A-BF29503AE69F}"/>
            </c:ext>
          </c:extLst>
        </c:ser>
        <c:dLbls>
          <c:showLegendKey val="0"/>
          <c:showVal val="0"/>
          <c:showCatName val="0"/>
          <c:showSerName val="0"/>
          <c:showPercent val="0"/>
          <c:showBubbleSize val="0"/>
        </c:dLbls>
        <c:marker val="1"/>
        <c:smooth val="0"/>
        <c:axId val="1100317775"/>
        <c:axId val="200126447"/>
      </c:lineChart>
      <c:catAx>
        <c:axId val="110031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26447"/>
        <c:crosses val="autoZero"/>
        <c:auto val="1"/>
        <c:lblAlgn val="ctr"/>
        <c:lblOffset val="100"/>
        <c:noMultiLvlLbl val="0"/>
      </c:catAx>
      <c:valAx>
        <c:axId val="200126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31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100000">
            <a:schemeClr val="accent1">
              <a:lumMod val="5000"/>
              <a:lumOff val="95000"/>
            </a:schemeClr>
          </a:gs>
          <a:gs pos="0">
            <a:schemeClr val="accent1">
              <a:lumMod val="5000"/>
              <a:lumOff val="95000"/>
            </a:schemeClr>
          </a:gs>
          <a:gs pos="0">
            <a:schemeClr val="accent1">
              <a:lumMod val="45000"/>
              <a:lumOff val="55000"/>
            </a:schemeClr>
          </a:gs>
          <a:gs pos="0">
            <a:schemeClr val="bg2">
              <a:lumMod val="10000"/>
            </a:schemeClr>
          </a:gs>
          <a:gs pos="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!PivotTable7</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'!$K$4:$K$11</c:f>
              <c:strCache>
                <c:ptCount val="7"/>
                <c:pt idx="0">
                  <c:v>Sunday</c:v>
                </c:pt>
                <c:pt idx="1">
                  <c:v>Monday</c:v>
                </c:pt>
                <c:pt idx="2">
                  <c:v>Tuesday</c:v>
                </c:pt>
                <c:pt idx="3">
                  <c:v>Wednesday</c:v>
                </c:pt>
                <c:pt idx="4">
                  <c:v>Thursday</c:v>
                </c:pt>
                <c:pt idx="5">
                  <c:v>Friday</c:v>
                </c:pt>
                <c:pt idx="6">
                  <c:v>Saturday</c:v>
                </c:pt>
              </c:strCache>
            </c:strRef>
          </c:cat>
          <c:val>
            <c:numRef>
              <c:f>'Pivot '!$L$4:$L$11</c:f>
              <c:numCache>
                <c:formatCode>#,##0</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711C-4408-9D38-907C7874F009}"/>
            </c:ext>
          </c:extLst>
        </c:ser>
        <c:dLbls>
          <c:dLblPos val="outEnd"/>
          <c:showLegendKey val="0"/>
          <c:showVal val="1"/>
          <c:showCatName val="0"/>
          <c:showSerName val="0"/>
          <c:showPercent val="0"/>
          <c:showBubbleSize val="0"/>
        </c:dLbls>
        <c:gapWidth val="182"/>
        <c:axId val="970818175"/>
        <c:axId val="1028249743"/>
      </c:barChart>
      <c:catAx>
        <c:axId val="9708181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249743"/>
        <c:crosses val="autoZero"/>
        <c:auto val="1"/>
        <c:lblAlgn val="ctr"/>
        <c:lblOffset val="100"/>
        <c:noMultiLvlLbl val="0"/>
      </c:catAx>
      <c:valAx>
        <c:axId val="1028249743"/>
        <c:scaling>
          <c:orientation val="minMax"/>
        </c:scaling>
        <c:delete val="1"/>
        <c:axPos val="b"/>
        <c:numFmt formatCode="#,##0" sourceLinked="1"/>
        <c:majorTickMark val="out"/>
        <c:minorTickMark val="none"/>
        <c:tickLblPos val="nextTo"/>
        <c:crossAx val="97081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'!$A$23:$A$27</c:f>
              <c:strCache>
                <c:ptCount val="5"/>
                <c:pt idx="0">
                  <c:v>R01</c:v>
                </c:pt>
                <c:pt idx="1">
                  <c:v>R02</c:v>
                </c:pt>
                <c:pt idx="2">
                  <c:v>R03</c:v>
                </c:pt>
                <c:pt idx="3">
                  <c:v>R04</c:v>
                </c:pt>
                <c:pt idx="4">
                  <c:v>R05</c:v>
                </c:pt>
              </c:strCache>
            </c:strRef>
          </c:cat>
          <c:val>
            <c:numRef>
              <c:f>'Pivot '!$B$23:$B$27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4ED7-43C3-AA29-CA109349F2D7}"/>
            </c:ext>
          </c:extLst>
        </c:ser>
        <c:ser>
          <c:idx val="2"/>
          <c:order val="2"/>
          <c:tx>
            <c:strRef>
              <c:f>'Pivot '!$D$22</c:f>
              <c:strCache>
                <c:ptCount val="1"/>
                <c:pt idx="0">
                  <c:v>sel.calls</c:v>
                </c:pt>
              </c:strCache>
            </c:strRef>
          </c:tx>
          <c:spPr>
            <a:gradFill>
              <a:gsLst>
                <a:gs pos="0">
                  <a:schemeClr val="accent1">
                    <a:lumMod val="5000"/>
                    <a:lumOff val="95000"/>
                  </a:schemeClr>
                </a:gs>
                <a:gs pos="29000">
                  <a:schemeClr val="accent5">
                    <a:lumMod val="75000"/>
                  </a:schemeClr>
                </a:gs>
                <a:gs pos="0">
                  <a:schemeClr val="accent5">
                    <a:lumMod val="60000"/>
                    <a:lumOff val="40000"/>
                  </a:schemeClr>
                </a:gs>
                <a:gs pos="100000">
                  <a:schemeClr val="accent5">
                    <a:lumMod val="50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'!$D$23:$D$27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4ED7-43C3-AA29-CA109349F2D7}"/>
            </c:ext>
          </c:extLst>
        </c:ser>
        <c:dLbls>
          <c:dLblPos val="outEnd"/>
          <c:showLegendKey val="0"/>
          <c:showVal val="1"/>
          <c:showCatName val="0"/>
          <c:showSerName val="0"/>
          <c:showPercent val="0"/>
          <c:showBubbleSize val="0"/>
        </c:dLbls>
        <c:gapWidth val="25"/>
        <c:overlap val="100"/>
        <c:axId val="1100292255"/>
        <c:axId val="200089487"/>
        <c:extLst>
          <c:ext xmlns:c15="http://schemas.microsoft.com/office/drawing/2012/chart" uri="{02D57815-91ED-43cb-92C2-25804820EDAC}">
            <c15:filteredBarSeries>
              <c15:ser>
                <c:idx val="1"/>
                <c:order val="1"/>
                <c:tx>
                  <c:strRef>
                    <c:extLst>
                      <c:ext uri="{02D57815-91ED-43cb-92C2-25804820EDAC}">
                        <c15:formulaRef>
                          <c15:sqref>'Pivot '!$D$23:$D$27</c15:sqref>
                        </c15:formulaRef>
                      </c:ext>
                    </c:extLst>
                    <c:strCache>
                      <c:ptCount val="5"/>
                      <c:pt idx="0">
                        <c:v>189</c:v>
                      </c:pt>
                      <c:pt idx="1">
                        <c:v>#N/A</c:v>
                      </c:pt>
                      <c:pt idx="2">
                        <c:v>#N/A</c:v>
                      </c:pt>
                      <c:pt idx="3">
                        <c:v>#N/A</c:v>
                      </c:pt>
                      <c:pt idx="4">
                        <c:v>#N/A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1</c:v>
                    </c:pt>
                  </c:numLit>
                </c:val>
                <c:extLst>
                  <c:ext xmlns:c16="http://schemas.microsoft.com/office/drawing/2014/chart" uri="{C3380CC4-5D6E-409C-BE32-E72D297353CC}">
                    <c16:uniqueId val="{00000002-4ED7-43C3-AA29-CA109349F2D7}"/>
                  </c:ext>
                </c:extLst>
              </c15:ser>
            </c15:filteredBarSeries>
          </c:ext>
        </c:extLst>
      </c:barChart>
      <c:catAx>
        <c:axId val="11002922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89487"/>
        <c:crosses val="autoZero"/>
        <c:auto val="1"/>
        <c:lblAlgn val="ctr"/>
        <c:lblOffset val="100"/>
        <c:noMultiLvlLbl val="0"/>
      </c:catAx>
      <c:valAx>
        <c:axId val="200089487"/>
        <c:scaling>
          <c:orientation val="minMax"/>
          <c:min val="0"/>
        </c:scaling>
        <c:delete val="1"/>
        <c:axPos val="b"/>
        <c:numFmt formatCode="General" sourceLinked="1"/>
        <c:majorTickMark val="out"/>
        <c:minorTickMark val="none"/>
        <c:tickLblPos val="nextTo"/>
        <c:crossAx val="110029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'!$A$23:$A$27</c:f>
              <c:strCache>
                <c:ptCount val="5"/>
                <c:pt idx="0">
                  <c:v>R01</c:v>
                </c:pt>
                <c:pt idx="1">
                  <c:v>R02</c:v>
                </c:pt>
                <c:pt idx="2">
                  <c:v>R03</c:v>
                </c:pt>
                <c:pt idx="3">
                  <c:v>R04</c:v>
                </c:pt>
                <c:pt idx="4">
                  <c:v>R05</c:v>
                </c:pt>
              </c:strCache>
            </c:strRef>
          </c:cat>
          <c:val>
            <c:numRef>
              <c:f>'Pivot '!$C$23:$C$27</c:f>
              <c:numCache>
                <c:formatCode>[$$-45C]#.0,\k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703F-4419-8558-9F66D51F24B1}"/>
            </c:ext>
          </c:extLst>
        </c:ser>
        <c:ser>
          <c:idx val="1"/>
          <c:order val="1"/>
          <c:tx>
            <c:strRef>
              <c:f>'Pivot '!$E$22</c:f>
              <c:strCache>
                <c:ptCount val="1"/>
                <c:pt idx="0">
                  <c:v>sel.amount</c:v>
                </c:pt>
              </c:strCache>
            </c:strRef>
          </c:tx>
          <c:spPr>
            <a:gradFill>
              <a:gsLst>
                <a:gs pos="0">
                  <a:schemeClr val="accent5">
                    <a:lumMod val="60000"/>
                    <a:lumOff val="40000"/>
                  </a:schemeClr>
                </a:gs>
                <a:gs pos="23000">
                  <a:schemeClr val="accent5">
                    <a:lumMod val="75000"/>
                  </a:schemeClr>
                </a:gs>
                <a:gs pos="0">
                  <a:schemeClr val="accent5">
                    <a:lumMod val="60000"/>
                    <a:lumOff val="40000"/>
                  </a:schemeClr>
                </a:gs>
                <a:gs pos="100000">
                  <a:schemeClr val="accent5">
                    <a:lumMod val="50000"/>
                  </a:schemeClr>
                </a:gs>
                <a:gs pos="100000">
                  <a:srgbClr val="002060"/>
                </a:gs>
              </a:gsLst>
              <a:lin ang="5400000" scaled="1"/>
            </a:gradFill>
            <a:ln>
              <a:noFill/>
            </a:ln>
            <a:effectLst/>
          </c:spPr>
          <c:invertIfNegative val="0"/>
          <c:dLbls>
            <c:delete val="1"/>
          </c:dLbls>
          <c:val>
            <c:numRef>
              <c:f>'Pivot '!$E$23:$E$27</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703F-4419-8558-9F66D51F24B1}"/>
            </c:ext>
          </c:extLst>
        </c:ser>
        <c:dLbls>
          <c:dLblPos val="outEnd"/>
          <c:showLegendKey val="0"/>
          <c:showVal val="1"/>
          <c:showCatName val="0"/>
          <c:showSerName val="0"/>
          <c:showPercent val="0"/>
          <c:showBubbleSize val="0"/>
        </c:dLbls>
        <c:gapWidth val="25"/>
        <c:overlap val="100"/>
        <c:axId val="1100292255"/>
        <c:axId val="200089487"/>
      </c:barChart>
      <c:catAx>
        <c:axId val="11002922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89487"/>
        <c:crosses val="autoZero"/>
        <c:auto val="1"/>
        <c:lblAlgn val="ctr"/>
        <c:lblOffset val="100"/>
        <c:noMultiLvlLbl val="0"/>
      </c:catAx>
      <c:valAx>
        <c:axId val="200089487"/>
        <c:scaling>
          <c:orientation val="minMax"/>
        </c:scaling>
        <c:delete val="1"/>
        <c:axPos val="b"/>
        <c:majorGridlines>
          <c:spPr>
            <a:ln w="9525" cap="flat" cmpd="sng" algn="ctr">
              <a:noFill/>
              <a:round/>
            </a:ln>
            <a:effectLst/>
          </c:spPr>
        </c:majorGridlines>
        <c:numFmt formatCode="[$$-45C]#.0,\k" sourceLinked="1"/>
        <c:majorTickMark val="out"/>
        <c:minorTickMark val="none"/>
        <c:tickLblPos val="nextTo"/>
        <c:crossAx val="110029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!model1</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IN">
                <a:solidFill>
                  <a:schemeClr val="accent2">
                    <a:lumMod val="75000"/>
                  </a:schemeClr>
                </a:solidFill>
                <a:latin typeface="+mj-lt"/>
              </a:rPr>
              <a:t>Female</a:t>
            </a:r>
            <a:r>
              <a:rPr lang="en-IN" baseline="0">
                <a:latin typeface="+mj-lt"/>
              </a:rPr>
              <a:t> vs </a:t>
            </a:r>
            <a:r>
              <a:rPr lang="en-IN" baseline="0">
                <a:solidFill>
                  <a:schemeClr val="accent5">
                    <a:lumMod val="75000"/>
                  </a:schemeClr>
                </a:solidFill>
                <a:latin typeface="+mj-lt"/>
              </a:rPr>
              <a:t>Male</a:t>
            </a:r>
            <a:r>
              <a:rPr lang="en-IN" baseline="0">
                <a:latin typeface="+mj-lt"/>
              </a:rPr>
              <a:t> Callers</a:t>
            </a:r>
            <a:endParaRPr lang="en-IN">
              <a:latin typeface="+mj-lt"/>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'!$H$23:$H$24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'!$G$25:$G$28</c:f>
              <c:strCache>
                <c:ptCount val="3"/>
                <c:pt idx="0">
                  <c:v>Cincinnati</c:v>
                </c:pt>
                <c:pt idx="1">
                  <c:v>Cleveland</c:v>
                </c:pt>
                <c:pt idx="2">
                  <c:v>Columbus</c:v>
                </c:pt>
              </c:strCache>
            </c:strRef>
          </c:cat>
          <c:val>
            <c:numRef>
              <c:f>'Pivot '!$H$25:$H$28</c:f>
              <c:numCache>
                <c:formatCode>#,##0</c:formatCode>
                <c:ptCount val="3"/>
                <c:pt idx="0">
                  <c:v>144</c:v>
                </c:pt>
                <c:pt idx="1">
                  <c:v>326</c:v>
                </c:pt>
                <c:pt idx="2">
                  <c:v>129</c:v>
                </c:pt>
              </c:numCache>
            </c:numRef>
          </c:val>
          <c:extLst>
            <c:ext xmlns:c16="http://schemas.microsoft.com/office/drawing/2014/chart" uri="{C3380CC4-5D6E-409C-BE32-E72D297353CC}">
              <c16:uniqueId val="{00000000-C478-40E0-BA34-9E15579B09EC}"/>
            </c:ext>
          </c:extLst>
        </c:ser>
        <c:ser>
          <c:idx val="1"/>
          <c:order val="1"/>
          <c:tx>
            <c:strRef>
              <c:f>'Pivot '!$I$23:$I$24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'!$G$25:$G$28</c:f>
              <c:strCache>
                <c:ptCount val="3"/>
                <c:pt idx="0">
                  <c:v>Cincinnati</c:v>
                </c:pt>
                <c:pt idx="1">
                  <c:v>Cleveland</c:v>
                </c:pt>
                <c:pt idx="2">
                  <c:v>Columbus</c:v>
                </c:pt>
              </c:strCache>
            </c:strRef>
          </c:cat>
          <c:val>
            <c:numRef>
              <c:f>'Pivot '!$I$25:$I$28</c:f>
              <c:numCache>
                <c:formatCode>#,##0</c:formatCode>
                <c:ptCount val="3"/>
                <c:pt idx="0">
                  <c:v>132</c:v>
                </c:pt>
                <c:pt idx="1">
                  <c:v>63</c:v>
                </c:pt>
                <c:pt idx="2">
                  <c:v>206</c:v>
                </c:pt>
              </c:numCache>
            </c:numRef>
          </c:val>
          <c:extLst>
            <c:ext xmlns:c16="http://schemas.microsoft.com/office/drawing/2014/chart" uri="{C3380CC4-5D6E-409C-BE32-E72D297353CC}">
              <c16:uniqueId val="{00000001-C478-40E0-BA34-9E15579B09EC}"/>
            </c:ext>
          </c:extLst>
        </c:ser>
        <c:dLbls>
          <c:dLblPos val="ctr"/>
          <c:showLegendKey val="0"/>
          <c:showVal val="1"/>
          <c:showCatName val="0"/>
          <c:showSerName val="0"/>
          <c:showPercent val="0"/>
          <c:showBubbleSize val="0"/>
        </c:dLbls>
        <c:gapWidth val="25"/>
        <c:overlap val="100"/>
        <c:axId val="1729797647"/>
        <c:axId val="1675238703"/>
      </c:barChart>
      <c:catAx>
        <c:axId val="1729797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238703"/>
        <c:crosses val="autoZero"/>
        <c:auto val="1"/>
        <c:lblAlgn val="ctr"/>
        <c:lblOffset val="100"/>
        <c:noMultiLvlLbl val="0"/>
      </c:catAx>
      <c:valAx>
        <c:axId val="1675238703"/>
        <c:scaling>
          <c:orientation val="minMax"/>
        </c:scaling>
        <c:delete val="1"/>
        <c:axPos val="l"/>
        <c:numFmt formatCode="0%" sourceLinked="1"/>
        <c:majorTickMark val="out"/>
        <c:minorTickMark val="none"/>
        <c:tickLblPos val="nextTo"/>
        <c:crossAx val="172979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!PivotTable3</c:name>
    <c:fmtId val="39"/>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j-lt"/>
                <a:ea typeface="+mn-ea"/>
                <a:cs typeface="+mn-cs"/>
              </a:defRPr>
            </a:pPr>
            <a:r>
              <a:rPr lang="en-US">
                <a:solidFill>
                  <a:schemeClr val="accent5">
                    <a:lumMod val="75000"/>
                  </a:schemeClr>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'!$L$14</c:f>
              <c:strCache>
                <c:ptCount val="1"/>
                <c:pt idx="0">
                  <c:v>Total</c:v>
                </c:pt>
              </c:strCache>
            </c:strRef>
          </c:tx>
          <c:spPr>
            <a:solidFill>
              <a:schemeClr val="accent1"/>
            </a:solidFill>
            <a:ln>
              <a:noFill/>
            </a:ln>
            <a:effectLst/>
          </c:spPr>
          <c:invertIfNegative val="0"/>
          <c:cat>
            <c:strRef>
              <c:f>'Pivot '!$K$15:$K$21</c:f>
              <c:strCache>
                <c:ptCount val="6"/>
                <c:pt idx="0">
                  <c:v>0</c:v>
                </c:pt>
                <c:pt idx="1">
                  <c:v>1</c:v>
                </c:pt>
                <c:pt idx="2">
                  <c:v>2</c:v>
                </c:pt>
                <c:pt idx="3">
                  <c:v>3</c:v>
                </c:pt>
                <c:pt idx="4">
                  <c:v>4</c:v>
                </c:pt>
                <c:pt idx="5">
                  <c:v>5</c:v>
                </c:pt>
              </c:strCache>
            </c:strRef>
          </c:cat>
          <c:val>
            <c:numRef>
              <c:f>'Pivot '!$L$15:$L$21</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6078-40F3-BFF3-A36FBB0A99EE}"/>
            </c:ext>
          </c:extLst>
        </c:ser>
        <c:dLbls>
          <c:showLegendKey val="0"/>
          <c:showVal val="0"/>
          <c:showCatName val="0"/>
          <c:showSerName val="0"/>
          <c:showPercent val="0"/>
          <c:showBubbleSize val="0"/>
        </c:dLbls>
        <c:gapWidth val="25"/>
        <c:overlap val="-27"/>
        <c:axId val="134439535"/>
        <c:axId val="1070404367"/>
      </c:barChart>
      <c:catAx>
        <c:axId val="13443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404367"/>
        <c:crosses val="autoZero"/>
        <c:auto val="1"/>
        <c:lblAlgn val="ctr"/>
        <c:lblOffset val="100"/>
        <c:noMultiLvlLbl val="0"/>
      </c:catAx>
      <c:valAx>
        <c:axId val="1070404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3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500243</xdr:colOff>
      <xdr:row>1</xdr:row>
      <xdr:rowOff>135307</xdr:rowOff>
    </xdr:from>
    <xdr:to>
      <xdr:col>2</xdr:col>
      <xdr:colOff>462143</xdr:colOff>
      <xdr:row>6</xdr:row>
      <xdr:rowOff>135307</xdr:rowOff>
    </xdr:to>
    <xdr:sp macro="" textlink="'Pivot '!A4">
      <xdr:nvSpPr>
        <xdr:cNvPr id="2" name="Rectangle: Rounded Corners 1">
          <a:extLst>
            <a:ext uri="{FF2B5EF4-FFF2-40B4-BE49-F238E27FC236}">
              <a16:creationId xmlns:a16="http://schemas.microsoft.com/office/drawing/2014/main" id="{C25501FA-B93A-F1CE-F1A7-28AFFD27DB4F}"/>
            </a:ext>
          </a:extLst>
        </xdr:cNvPr>
        <xdr:cNvSpPr/>
      </xdr:nvSpPr>
      <xdr:spPr>
        <a:xfrm>
          <a:off x="500243" y="320658"/>
          <a:ext cx="1300549" cy="926757"/>
        </a:xfrm>
        <a:prstGeom prst="roundRect">
          <a:avLst/>
        </a:prstGeom>
        <a:solidFill>
          <a:srgbClr val="002060">
            <a:alpha val="92000"/>
          </a:srgbClr>
        </a:solidFill>
        <a:ln w="34925">
          <a:solidFill>
            <a:schemeClr val="accent1">
              <a:shade val="15000"/>
              <a:alpha val="63000"/>
            </a:schemeClr>
          </a:solidFill>
          <a:extLst>
            <a:ext uri="{C807C97D-BFC1-408E-A445-0C87EB9F89A2}">
              <ask:lineSketchStyleProps xmlns:ask="http://schemas.microsoft.com/office/drawing/2018/sketchyshapes">
                <ask:type>
                  <ask:lineSketchNone/>
                </ask:type>
              </ask:lineSketchStyleProps>
            </a:ext>
          </a:extLst>
        </a:ln>
        <a:effectLst>
          <a:outerShdw blurRad="584200" dist="50800" dir="5400000" sx="1000" sy="1000" algn="ctr" rotWithShape="0">
            <a:srgbClr val="000000">
              <a:alpha val="5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1D0785B-00F8-48DD-B443-A42D8AD6393A}" type="TxLink">
            <a:rPr lang="en-US" sz="1800" b="0" i="0" u="none" strike="noStrike">
              <a:solidFill>
                <a:schemeClr val="bg2"/>
              </a:solidFill>
              <a:latin typeface="+mj-lt"/>
            </a:rPr>
            <a:pPr algn="ctr"/>
            <a:t>1,000</a:t>
          </a:fld>
          <a:endParaRPr lang="en-IN" sz="1800">
            <a:solidFill>
              <a:schemeClr val="bg2"/>
            </a:solidFill>
            <a:latin typeface="+mj-lt"/>
          </a:endParaRPr>
        </a:p>
      </xdr:txBody>
    </xdr:sp>
    <xdr:clientData/>
  </xdr:twoCellAnchor>
  <xdr:twoCellAnchor>
    <xdr:from>
      <xdr:col>0</xdr:col>
      <xdr:colOff>494270</xdr:colOff>
      <xdr:row>9</xdr:row>
      <xdr:rowOff>30892</xdr:rowOff>
    </xdr:from>
    <xdr:to>
      <xdr:col>2</xdr:col>
      <xdr:colOff>456170</xdr:colOff>
      <xdr:row>14</xdr:row>
      <xdr:rowOff>30892</xdr:rowOff>
    </xdr:to>
    <xdr:sp macro="" textlink="'Pivot '!B4">
      <xdr:nvSpPr>
        <xdr:cNvPr id="3" name="Rectangle: Rounded Corners 2">
          <a:extLst>
            <a:ext uri="{FF2B5EF4-FFF2-40B4-BE49-F238E27FC236}">
              <a16:creationId xmlns:a16="http://schemas.microsoft.com/office/drawing/2014/main" id="{126254C0-0420-4A0B-9B07-799B0A01084C}"/>
            </a:ext>
          </a:extLst>
        </xdr:cNvPr>
        <xdr:cNvSpPr/>
      </xdr:nvSpPr>
      <xdr:spPr>
        <a:xfrm>
          <a:off x="494270" y="1690790"/>
          <a:ext cx="1301467" cy="922166"/>
        </a:xfrm>
        <a:prstGeom prst="roundRect">
          <a:avLst/>
        </a:prstGeom>
        <a:solidFill>
          <a:srgbClr val="002060">
            <a:alpha val="92000"/>
          </a:srgbClr>
        </a:solidFill>
        <a:ln w="34925">
          <a:solidFill>
            <a:schemeClr val="accent1">
              <a:shade val="15000"/>
              <a:alpha val="63000"/>
            </a:schemeClr>
          </a:solidFill>
          <a:extLst>
            <a:ext uri="{C807C97D-BFC1-408E-A445-0C87EB9F89A2}">
              <ask:lineSketchStyleProps xmlns:ask="http://schemas.microsoft.com/office/drawing/2018/sketchyshapes">
                <ask:type>
                  <ask:lineSketchNone/>
                </ask:type>
              </ask:lineSketchStyleProps>
            </a:ext>
          </a:extLst>
        </a:ln>
        <a:effectLst>
          <a:outerShdw blurRad="584200" dist="50800" dir="5400000" sx="1000" sy="1000" algn="ctr" rotWithShape="0">
            <a:srgbClr val="000000">
              <a:alpha val="5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5D4481-D8A2-41DB-ABB0-B3FCDF919E8D}" type="TxLink">
            <a:rPr lang="en-US" sz="1600" b="0" i="0" u="none" strike="noStrike">
              <a:solidFill>
                <a:schemeClr val="bg1"/>
              </a:solidFill>
              <a:latin typeface="+mj-lt"/>
            </a:rPr>
            <a:pPr algn="ctr"/>
            <a:t>₹ 96,623</a:t>
          </a:fld>
          <a:endParaRPr lang="en-IN" sz="1600">
            <a:solidFill>
              <a:schemeClr val="bg1"/>
            </a:solidFill>
            <a:latin typeface="+mj-lt"/>
          </a:endParaRPr>
        </a:p>
      </xdr:txBody>
    </xdr:sp>
    <xdr:clientData/>
  </xdr:twoCellAnchor>
  <xdr:twoCellAnchor>
    <xdr:from>
      <xdr:col>1</xdr:col>
      <xdr:colOff>236838</xdr:colOff>
      <xdr:row>1</xdr:row>
      <xdr:rowOff>175055</xdr:rowOff>
    </xdr:from>
    <xdr:to>
      <xdr:col>2</xdr:col>
      <xdr:colOff>391297</xdr:colOff>
      <xdr:row>3</xdr:row>
      <xdr:rowOff>61784</xdr:rowOff>
    </xdr:to>
    <xdr:sp macro="" textlink="">
      <xdr:nvSpPr>
        <xdr:cNvPr id="6" name="TextBox 5">
          <a:extLst>
            <a:ext uri="{FF2B5EF4-FFF2-40B4-BE49-F238E27FC236}">
              <a16:creationId xmlns:a16="http://schemas.microsoft.com/office/drawing/2014/main" id="{E0AAA827-5FB6-9165-6C48-2E431096FEFE}"/>
            </a:ext>
          </a:extLst>
        </xdr:cNvPr>
        <xdr:cNvSpPr txBox="1"/>
      </xdr:nvSpPr>
      <xdr:spPr>
        <a:xfrm>
          <a:off x="906162" y="360406"/>
          <a:ext cx="823784" cy="257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mj-lt"/>
            </a:rPr>
            <a:t>Calls</a:t>
          </a:r>
        </a:p>
      </xdr:txBody>
    </xdr:sp>
    <xdr:clientData/>
  </xdr:twoCellAnchor>
  <xdr:twoCellAnchor editAs="oneCell">
    <xdr:from>
      <xdr:col>1</xdr:col>
      <xdr:colOff>176771</xdr:colOff>
      <xdr:row>2</xdr:row>
      <xdr:rowOff>50337</xdr:rowOff>
    </xdr:from>
    <xdr:to>
      <xdr:col>1</xdr:col>
      <xdr:colOff>328360</xdr:colOff>
      <xdr:row>3</xdr:row>
      <xdr:rowOff>8439</xdr:rowOff>
    </xdr:to>
    <xdr:pic>
      <xdr:nvPicPr>
        <xdr:cNvPr id="7" name="Graphic 6" descr="Receiver with solid fill">
          <a:extLst>
            <a:ext uri="{FF2B5EF4-FFF2-40B4-BE49-F238E27FC236}">
              <a16:creationId xmlns:a16="http://schemas.microsoft.com/office/drawing/2014/main" id="{395F5D09-A5D9-4CD0-8CA3-E66DAE8F55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671497">
          <a:off x="846554" y="419203"/>
          <a:ext cx="151589" cy="142535"/>
        </a:xfrm>
        <a:prstGeom prst="rect">
          <a:avLst/>
        </a:prstGeom>
      </xdr:spPr>
    </xdr:pic>
    <xdr:clientData/>
  </xdr:twoCellAnchor>
  <xdr:twoCellAnchor>
    <xdr:from>
      <xdr:col>1</xdr:col>
      <xdr:colOff>144162</xdr:colOff>
      <xdr:row>5</xdr:row>
      <xdr:rowOff>20594</xdr:rowOff>
    </xdr:from>
    <xdr:to>
      <xdr:col>2</xdr:col>
      <xdr:colOff>205946</xdr:colOff>
      <xdr:row>6</xdr:row>
      <xdr:rowOff>61784</xdr:rowOff>
    </xdr:to>
    <xdr:sp macro="" textlink="'Pivot '!A10">
      <xdr:nvSpPr>
        <xdr:cNvPr id="8" name="TextBox 7">
          <a:extLst>
            <a:ext uri="{FF2B5EF4-FFF2-40B4-BE49-F238E27FC236}">
              <a16:creationId xmlns:a16="http://schemas.microsoft.com/office/drawing/2014/main" id="{28743EF4-EB93-7D44-BB4D-FEEB4553627F}"/>
            </a:ext>
          </a:extLst>
        </xdr:cNvPr>
        <xdr:cNvSpPr txBox="1"/>
      </xdr:nvSpPr>
      <xdr:spPr>
        <a:xfrm>
          <a:off x="813486" y="947351"/>
          <a:ext cx="731109" cy="226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0912FD-EA67-4020-9BD2-88FD6F8E4B73}" type="TxLink">
            <a:rPr lang="en-US" sz="1100" b="0" i="0" u="none" strike="noStrike">
              <a:solidFill>
                <a:schemeClr val="bg1"/>
              </a:solidFill>
              <a:latin typeface="Aptos"/>
            </a:rPr>
            <a:pPr algn="ctr"/>
            <a:t>1,000</a:t>
          </a:fld>
          <a:endParaRPr lang="en-IN" sz="1100">
            <a:solidFill>
              <a:schemeClr val="bg1"/>
            </a:solidFill>
          </a:endParaRPr>
        </a:p>
      </xdr:txBody>
    </xdr:sp>
    <xdr:clientData/>
  </xdr:twoCellAnchor>
  <xdr:twoCellAnchor>
    <xdr:from>
      <xdr:col>1</xdr:col>
      <xdr:colOff>133865</xdr:colOff>
      <xdr:row>9</xdr:row>
      <xdr:rowOff>133864</xdr:rowOff>
    </xdr:from>
    <xdr:to>
      <xdr:col>2</xdr:col>
      <xdr:colOff>288324</xdr:colOff>
      <xdr:row>11</xdr:row>
      <xdr:rowOff>154458</xdr:rowOff>
    </xdr:to>
    <xdr:sp macro="" textlink="">
      <xdr:nvSpPr>
        <xdr:cNvPr id="9" name="TextBox 8">
          <a:extLst>
            <a:ext uri="{FF2B5EF4-FFF2-40B4-BE49-F238E27FC236}">
              <a16:creationId xmlns:a16="http://schemas.microsoft.com/office/drawing/2014/main" id="{5ED259C6-3D5A-AB76-6DFB-F554AF922483}"/>
            </a:ext>
          </a:extLst>
        </xdr:cNvPr>
        <xdr:cNvSpPr txBox="1"/>
      </xdr:nvSpPr>
      <xdr:spPr>
        <a:xfrm>
          <a:off x="803189" y="1802026"/>
          <a:ext cx="823784" cy="391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mj-lt"/>
            </a:rPr>
            <a:t>Amount</a:t>
          </a:r>
        </a:p>
      </xdr:txBody>
    </xdr:sp>
    <xdr:clientData/>
  </xdr:twoCellAnchor>
  <xdr:twoCellAnchor editAs="oneCell">
    <xdr:from>
      <xdr:col>1</xdr:col>
      <xdr:colOff>8067</xdr:colOff>
      <xdr:row>9</xdr:row>
      <xdr:rowOff>177545</xdr:rowOff>
    </xdr:from>
    <xdr:to>
      <xdr:col>1</xdr:col>
      <xdr:colOff>211674</xdr:colOff>
      <xdr:row>11</xdr:row>
      <xdr:rowOff>8587</xdr:rowOff>
    </xdr:to>
    <xdr:pic>
      <xdr:nvPicPr>
        <xdr:cNvPr id="10" name="Graphic 9" descr="Star-struck face outline with solid fill">
          <a:extLst>
            <a:ext uri="{FF2B5EF4-FFF2-40B4-BE49-F238E27FC236}">
              <a16:creationId xmlns:a16="http://schemas.microsoft.com/office/drawing/2014/main" id="{76020BD1-ED10-402B-A1DB-81DB9F41DAE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77850" y="1837443"/>
          <a:ext cx="203607" cy="191321"/>
        </a:xfrm>
        <a:prstGeom prst="rect">
          <a:avLst/>
        </a:prstGeom>
      </xdr:spPr>
    </xdr:pic>
    <xdr:clientData/>
  </xdr:twoCellAnchor>
  <xdr:twoCellAnchor>
    <xdr:from>
      <xdr:col>1</xdr:col>
      <xdr:colOff>72081</xdr:colOff>
      <xdr:row>12</xdr:row>
      <xdr:rowOff>61784</xdr:rowOff>
    </xdr:from>
    <xdr:to>
      <xdr:col>2</xdr:col>
      <xdr:colOff>195648</xdr:colOff>
      <xdr:row>13</xdr:row>
      <xdr:rowOff>123567</xdr:rowOff>
    </xdr:to>
    <xdr:sp macro="" textlink="'Pivot '!B10">
      <xdr:nvSpPr>
        <xdr:cNvPr id="11" name="TextBox 10">
          <a:extLst>
            <a:ext uri="{FF2B5EF4-FFF2-40B4-BE49-F238E27FC236}">
              <a16:creationId xmlns:a16="http://schemas.microsoft.com/office/drawing/2014/main" id="{96E90D34-6505-9D4E-FEFC-140BA93E654F}"/>
            </a:ext>
          </a:extLst>
        </xdr:cNvPr>
        <xdr:cNvSpPr txBox="1"/>
      </xdr:nvSpPr>
      <xdr:spPr>
        <a:xfrm>
          <a:off x="741405" y="2286000"/>
          <a:ext cx="792892" cy="24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9C39B1-A75F-44E2-A6E8-4B1D8F605A18}" type="TxLink">
            <a:rPr lang="en-US" sz="1100" b="0" i="0" u="none" strike="noStrike">
              <a:solidFill>
                <a:schemeClr val="bg1"/>
              </a:solidFill>
              <a:latin typeface="Aptos"/>
            </a:rPr>
            <a:pPr algn="ctr"/>
            <a:t>₹ 96,623</a:t>
          </a:fld>
          <a:endParaRPr lang="en-IN" sz="1100">
            <a:solidFill>
              <a:schemeClr val="bg1"/>
            </a:solidFill>
          </a:endParaRPr>
        </a:p>
      </xdr:txBody>
    </xdr:sp>
    <xdr:clientData/>
  </xdr:twoCellAnchor>
  <xdr:twoCellAnchor>
    <xdr:from>
      <xdr:col>0</xdr:col>
      <xdr:colOff>545756</xdr:colOff>
      <xdr:row>16</xdr:row>
      <xdr:rowOff>123567</xdr:rowOff>
    </xdr:from>
    <xdr:to>
      <xdr:col>2</xdr:col>
      <xdr:colOff>507656</xdr:colOff>
      <xdr:row>21</xdr:row>
      <xdr:rowOff>123568</xdr:rowOff>
    </xdr:to>
    <xdr:sp macro="" textlink="'Pivot '!C4">
      <xdr:nvSpPr>
        <xdr:cNvPr id="12" name="Rectangle: Rounded Corners 11">
          <a:extLst>
            <a:ext uri="{FF2B5EF4-FFF2-40B4-BE49-F238E27FC236}">
              <a16:creationId xmlns:a16="http://schemas.microsoft.com/office/drawing/2014/main" id="{E44CFE64-B06B-4649-AEAF-D6C54FB4C333}"/>
            </a:ext>
          </a:extLst>
        </xdr:cNvPr>
        <xdr:cNvSpPr/>
      </xdr:nvSpPr>
      <xdr:spPr>
        <a:xfrm>
          <a:off x="545756" y="3089189"/>
          <a:ext cx="1300549" cy="926757"/>
        </a:xfrm>
        <a:prstGeom prst="roundRect">
          <a:avLst/>
        </a:prstGeom>
        <a:solidFill>
          <a:srgbClr val="002060">
            <a:alpha val="92000"/>
          </a:srgbClr>
        </a:solidFill>
        <a:ln w="34925">
          <a:solidFill>
            <a:schemeClr val="accent1">
              <a:shade val="15000"/>
              <a:alpha val="63000"/>
            </a:schemeClr>
          </a:solidFill>
          <a:extLst>
            <a:ext uri="{C807C97D-BFC1-408E-A445-0C87EB9F89A2}">
              <ask:lineSketchStyleProps xmlns:ask="http://schemas.microsoft.com/office/drawing/2018/sketchyshapes">
                <ask:type>
                  <ask:lineSketchNone/>
                </ask:type>
              </ask:lineSketchStyleProps>
            </a:ext>
          </a:extLst>
        </a:ln>
        <a:effectLst>
          <a:outerShdw blurRad="584200" dist="50800" dir="5400000" sx="1000" sy="1000" algn="ctr" rotWithShape="0">
            <a:srgbClr val="000000">
              <a:alpha val="5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481BFA-5DDC-4490-9A8D-23F33587D4F0}" type="TxLink">
            <a:rPr lang="en-US" sz="1600" b="0" i="0" u="none" strike="noStrike">
              <a:solidFill>
                <a:schemeClr val="bg1"/>
              </a:solidFill>
              <a:latin typeface="+mj-lt"/>
            </a:rPr>
            <a:pPr algn="ctr"/>
            <a:t>89850</a:t>
          </a:fld>
          <a:endParaRPr lang="en-IN" sz="1600">
            <a:solidFill>
              <a:schemeClr val="bg1"/>
            </a:solidFill>
            <a:latin typeface="+mj-lt"/>
          </a:endParaRPr>
        </a:p>
      </xdr:txBody>
    </xdr:sp>
    <xdr:clientData/>
  </xdr:twoCellAnchor>
  <xdr:twoCellAnchor>
    <xdr:from>
      <xdr:col>0</xdr:col>
      <xdr:colOff>597243</xdr:colOff>
      <xdr:row>25</xdr:row>
      <xdr:rowOff>10296</xdr:rowOff>
    </xdr:from>
    <xdr:to>
      <xdr:col>2</xdr:col>
      <xdr:colOff>559143</xdr:colOff>
      <xdr:row>30</xdr:row>
      <xdr:rowOff>10296</xdr:rowOff>
    </xdr:to>
    <xdr:sp macro="" textlink="'Pivot '!D4">
      <xdr:nvSpPr>
        <xdr:cNvPr id="13" name="Rectangle: Rounded Corners 12">
          <a:extLst>
            <a:ext uri="{FF2B5EF4-FFF2-40B4-BE49-F238E27FC236}">
              <a16:creationId xmlns:a16="http://schemas.microsoft.com/office/drawing/2014/main" id="{A1D50194-6990-4AC3-8ED6-6AC3E23E7420}"/>
            </a:ext>
          </a:extLst>
        </xdr:cNvPr>
        <xdr:cNvSpPr/>
      </xdr:nvSpPr>
      <xdr:spPr>
        <a:xfrm>
          <a:off x="597243" y="4644080"/>
          <a:ext cx="1300549" cy="926757"/>
        </a:xfrm>
        <a:prstGeom prst="roundRect">
          <a:avLst/>
        </a:prstGeom>
        <a:solidFill>
          <a:srgbClr val="002060">
            <a:alpha val="92000"/>
          </a:srgbClr>
        </a:solidFill>
        <a:ln w="34925">
          <a:solidFill>
            <a:schemeClr val="accent1">
              <a:shade val="15000"/>
              <a:alpha val="63000"/>
            </a:schemeClr>
          </a:solidFill>
          <a:extLst>
            <a:ext uri="{C807C97D-BFC1-408E-A445-0C87EB9F89A2}">
              <ask:lineSketchStyleProps xmlns:ask="http://schemas.microsoft.com/office/drawing/2018/sketchyshapes">
                <ask:type>
                  <ask:lineSketchNone/>
                </ask:type>
              </ask:lineSketchStyleProps>
            </a:ext>
          </a:extLst>
        </a:ln>
        <a:effectLst>
          <a:outerShdw blurRad="584200" dist="50800" dir="5400000" sx="1000" sy="1000" algn="ctr" rotWithShape="0">
            <a:srgbClr val="000000">
              <a:alpha val="5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A7A632-11D6-4C1E-AD78-F94E7D453D29}" type="TxLink">
            <a:rPr lang="en-US" sz="1600" b="0" i="0" u="none" strike="noStrike">
              <a:solidFill>
                <a:schemeClr val="bg1"/>
              </a:solidFill>
              <a:latin typeface="+mj-lt"/>
            </a:rPr>
            <a:pPr algn="ctr"/>
            <a:t>3.9</a:t>
          </a:fld>
          <a:endParaRPr lang="en-IN" sz="1600">
            <a:solidFill>
              <a:schemeClr val="bg1"/>
            </a:solidFill>
            <a:latin typeface="+mj-lt"/>
          </a:endParaRPr>
        </a:p>
      </xdr:txBody>
    </xdr:sp>
    <xdr:clientData/>
  </xdr:twoCellAnchor>
  <xdr:twoCellAnchor>
    <xdr:from>
      <xdr:col>1</xdr:col>
      <xdr:colOff>144162</xdr:colOff>
      <xdr:row>17</xdr:row>
      <xdr:rowOff>0</xdr:rowOff>
    </xdr:from>
    <xdr:to>
      <xdr:col>2</xdr:col>
      <xdr:colOff>391297</xdr:colOff>
      <xdr:row>18</xdr:row>
      <xdr:rowOff>61784</xdr:rowOff>
    </xdr:to>
    <xdr:sp macro="" textlink="">
      <xdr:nvSpPr>
        <xdr:cNvPr id="14" name="TextBox 13">
          <a:extLst>
            <a:ext uri="{FF2B5EF4-FFF2-40B4-BE49-F238E27FC236}">
              <a16:creationId xmlns:a16="http://schemas.microsoft.com/office/drawing/2014/main" id="{160773A2-DE50-6DA5-0120-3DA1368F7449}"/>
            </a:ext>
          </a:extLst>
        </xdr:cNvPr>
        <xdr:cNvSpPr txBox="1"/>
      </xdr:nvSpPr>
      <xdr:spPr>
        <a:xfrm>
          <a:off x="813486" y="3150973"/>
          <a:ext cx="916460" cy="24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a:solidFill>
                <a:schemeClr val="bg1"/>
              </a:solidFill>
              <a:latin typeface="+mj-lt"/>
            </a:rPr>
            <a:t>Duration</a:t>
          </a:r>
        </a:p>
      </xdr:txBody>
    </xdr:sp>
    <xdr:clientData/>
  </xdr:twoCellAnchor>
  <xdr:twoCellAnchor>
    <xdr:from>
      <xdr:col>1</xdr:col>
      <xdr:colOff>226540</xdr:colOff>
      <xdr:row>19</xdr:row>
      <xdr:rowOff>185350</xdr:rowOff>
    </xdr:from>
    <xdr:to>
      <xdr:col>2</xdr:col>
      <xdr:colOff>164756</xdr:colOff>
      <xdr:row>21</xdr:row>
      <xdr:rowOff>0</xdr:rowOff>
    </xdr:to>
    <xdr:sp macro="" textlink="'Pivot '!C10">
      <xdr:nvSpPr>
        <xdr:cNvPr id="15" name="TextBox 14">
          <a:extLst>
            <a:ext uri="{FF2B5EF4-FFF2-40B4-BE49-F238E27FC236}">
              <a16:creationId xmlns:a16="http://schemas.microsoft.com/office/drawing/2014/main" id="{92831B15-98F6-338E-6CD8-DB46DC228041}"/>
            </a:ext>
          </a:extLst>
        </xdr:cNvPr>
        <xdr:cNvSpPr txBox="1"/>
      </xdr:nvSpPr>
      <xdr:spPr>
        <a:xfrm>
          <a:off x="895864" y="3707026"/>
          <a:ext cx="607541" cy="185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36EC87-93F1-4D01-83C7-EEF30FC5D52F}" type="TxLink">
            <a:rPr lang="en-US" sz="1100" b="0" i="0" u="none" strike="noStrike">
              <a:solidFill>
                <a:schemeClr val="bg1"/>
              </a:solidFill>
              <a:latin typeface="Aptos"/>
            </a:rPr>
            <a:pPr/>
            <a:t>89850</a:t>
          </a:fld>
          <a:endParaRPr lang="en-IN" sz="1100">
            <a:solidFill>
              <a:schemeClr val="bg1"/>
            </a:solidFill>
          </a:endParaRPr>
        </a:p>
      </xdr:txBody>
    </xdr:sp>
    <xdr:clientData/>
  </xdr:twoCellAnchor>
  <xdr:twoCellAnchor editAs="oneCell">
    <xdr:from>
      <xdr:col>1</xdr:col>
      <xdr:colOff>71754</xdr:colOff>
      <xdr:row>17</xdr:row>
      <xdr:rowOff>39156</xdr:rowOff>
    </xdr:from>
    <xdr:to>
      <xdr:col>1</xdr:col>
      <xdr:colOff>242880</xdr:colOff>
      <xdr:row>18</xdr:row>
      <xdr:rowOff>19414</xdr:rowOff>
    </xdr:to>
    <xdr:pic>
      <xdr:nvPicPr>
        <xdr:cNvPr id="16" name="Graphic 15" descr="Hourglass Finished with solid fill">
          <a:extLst>
            <a:ext uri="{FF2B5EF4-FFF2-40B4-BE49-F238E27FC236}">
              <a16:creationId xmlns:a16="http://schemas.microsoft.com/office/drawing/2014/main" id="{76EAA52B-D357-4E5D-9E06-90E560488A5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1537" y="3174519"/>
          <a:ext cx="171126" cy="164691"/>
        </a:xfrm>
        <a:prstGeom prst="rect">
          <a:avLst/>
        </a:prstGeom>
      </xdr:spPr>
    </xdr:pic>
    <xdr:clientData/>
  </xdr:twoCellAnchor>
  <xdr:twoCellAnchor editAs="oneCell">
    <xdr:from>
      <xdr:col>1</xdr:col>
      <xdr:colOff>154461</xdr:colOff>
      <xdr:row>33</xdr:row>
      <xdr:rowOff>10296</xdr:rowOff>
    </xdr:from>
    <xdr:to>
      <xdr:col>1</xdr:col>
      <xdr:colOff>339813</xdr:colOff>
      <xdr:row>34</xdr:row>
      <xdr:rowOff>10297</xdr:rowOff>
    </xdr:to>
    <xdr:pic>
      <xdr:nvPicPr>
        <xdr:cNvPr id="17" name="Graphic 16" descr="Call center with solid fill">
          <a:extLst>
            <a:ext uri="{FF2B5EF4-FFF2-40B4-BE49-F238E27FC236}">
              <a16:creationId xmlns:a16="http://schemas.microsoft.com/office/drawing/2014/main" id="{E00DD1B9-403A-479C-A351-9B22A14CFE0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23785" y="6126891"/>
          <a:ext cx="185352" cy="185352"/>
        </a:xfrm>
        <a:prstGeom prst="rect">
          <a:avLst/>
        </a:prstGeom>
      </xdr:spPr>
    </xdr:pic>
    <xdr:clientData/>
  </xdr:twoCellAnchor>
  <xdr:twoCellAnchor editAs="oneCell">
    <xdr:from>
      <xdr:col>1</xdr:col>
      <xdr:colOff>119306</xdr:colOff>
      <xdr:row>25</xdr:row>
      <xdr:rowOff>136356</xdr:rowOff>
    </xdr:from>
    <xdr:to>
      <xdr:col>1</xdr:col>
      <xdr:colOff>298793</xdr:colOff>
      <xdr:row>26</xdr:row>
      <xdr:rowOff>115762</xdr:rowOff>
    </xdr:to>
    <xdr:pic>
      <xdr:nvPicPr>
        <xdr:cNvPr id="18" name="Graphic 17" descr="Shopping cart with solid fill">
          <a:extLst>
            <a:ext uri="{FF2B5EF4-FFF2-40B4-BE49-F238E27FC236}">
              <a16:creationId xmlns:a16="http://schemas.microsoft.com/office/drawing/2014/main" id="{312DC6FE-158F-4B6E-B908-00956880C9E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89089" y="4747184"/>
          <a:ext cx="179487" cy="163839"/>
        </a:xfrm>
        <a:prstGeom prst="rect">
          <a:avLst/>
        </a:prstGeom>
      </xdr:spPr>
    </xdr:pic>
    <xdr:clientData/>
  </xdr:twoCellAnchor>
  <xdr:twoCellAnchor>
    <xdr:from>
      <xdr:col>1</xdr:col>
      <xdr:colOff>391298</xdr:colOff>
      <xdr:row>28</xdr:row>
      <xdr:rowOff>61783</xdr:rowOff>
    </xdr:from>
    <xdr:to>
      <xdr:col>2</xdr:col>
      <xdr:colOff>288325</xdr:colOff>
      <xdr:row>29</xdr:row>
      <xdr:rowOff>82378</xdr:rowOff>
    </xdr:to>
    <xdr:sp macro="" textlink="'Pivot '!D10">
      <xdr:nvSpPr>
        <xdr:cNvPr id="20" name="TextBox 19">
          <a:extLst>
            <a:ext uri="{FF2B5EF4-FFF2-40B4-BE49-F238E27FC236}">
              <a16:creationId xmlns:a16="http://schemas.microsoft.com/office/drawing/2014/main" id="{186C108F-54C3-7F81-1100-9558C4FAE928}"/>
            </a:ext>
          </a:extLst>
        </xdr:cNvPr>
        <xdr:cNvSpPr txBox="1"/>
      </xdr:nvSpPr>
      <xdr:spPr>
        <a:xfrm>
          <a:off x="1060622" y="5251621"/>
          <a:ext cx="566352" cy="2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691F8B-F995-4B0E-9A94-49B924F24DE3}" type="TxLink">
            <a:rPr lang="en-US" sz="1100" b="0" i="0" u="none" strike="noStrike">
              <a:solidFill>
                <a:schemeClr val="bg1"/>
              </a:solidFill>
              <a:latin typeface="Aptos"/>
            </a:rPr>
            <a:pPr/>
            <a:t>3.9</a:t>
          </a:fld>
          <a:endParaRPr lang="en-IN" sz="1100">
            <a:solidFill>
              <a:schemeClr val="bg1"/>
            </a:solidFill>
          </a:endParaRPr>
        </a:p>
      </xdr:txBody>
    </xdr:sp>
    <xdr:clientData/>
  </xdr:twoCellAnchor>
  <xdr:twoCellAnchor>
    <xdr:from>
      <xdr:col>1</xdr:col>
      <xdr:colOff>226541</xdr:colOff>
      <xdr:row>25</xdr:row>
      <xdr:rowOff>82377</xdr:rowOff>
    </xdr:from>
    <xdr:to>
      <xdr:col>2</xdr:col>
      <xdr:colOff>319216</xdr:colOff>
      <xdr:row>27</xdr:row>
      <xdr:rowOff>20594</xdr:rowOff>
    </xdr:to>
    <xdr:sp macro="" textlink="">
      <xdr:nvSpPr>
        <xdr:cNvPr id="21" name="TextBox 20">
          <a:extLst>
            <a:ext uri="{FF2B5EF4-FFF2-40B4-BE49-F238E27FC236}">
              <a16:creationId xmlns:a16="http://schemas.microsoft.com/office/drawing/2014/main" id="{4039BAE9-73B8-3F03-1AE6-5E2446206685}"/>
            </a:ext>
          </a:extLst>
        </xdr:cNvPr>
        <xdr:cNvSpPr txBox="1"/>
      </xdr:nvSpPr>
      <xdr:spPr>
        <a:xfrm>
          <a:off x="895865" y="4716161"/>
          <a:ext cx="762000" cy="308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mj-lt"/>
            </a:rPr>
            <a:t>Average</a:t>
          </a:r>
        </a:p>
      </xdr:txBody>
    </xdr:sp>
    <xdr:clientData/>
  </xdr:twoCellAnchor>
  <xdr:twoCellAnchor>
    <xdr:from>
      <xdr:col>0</xdr:col>
      <xdr:colOff>566351</xdr:colOff>
      <xdr:row>32</xdr:row>
      <xdr:rowOff>92677</xdr:rowOff>
    </xdr:from>
    <xdr:to>
      <xdr:col>2</xdr:col>
      <xdr:colOff>528251</xdr:colOff>
      <xdr:row>37</xdr:row>
      <xdr:rowOff>92677</xdr:rowOff>
    </xdr:to>
    <xdr:sp macro="" textlink="'Pivot '!E4">
      <xdr:nvSpPr>
        <xdr:cNvPr id="22" name="Rectangle: Rounded Corners 21">
          <a:extLst>
            <a:ext uri="{FF2B5EF4-FFF2-40B4-BE49-F238E27FC236}">
              <a16:creationId xmlns:a16="http://schemas.microsoft.com/office/drawing/2014/main" id="{D7F81E99-1229-4528-B044-DFDE67F833A7}"/>
            </a:ext>
          </a:extLst>
        </xdr:cNvPr>
        <xdr:cNvSpPr/>
      </xdr:nvSpPr>
      <xdr:spPr>
        <a:xfrm>
          <a:off x="566351" y="6023920"/>
          <a:ext cx="1300549" cy="926757"/>
        </a:xfrm>
        <a:prstGeom prst="roundRect">
          <a:avLst/>
        </a:prstGeom>
        <a:solidFill>
          <a:srgbClr val="002060">
            <a:alpha val="92000"/>
          </a:srgbClr>
        </a:solidFill>
        <a:ln w="34925">
          <a:solidFill>
            <a:schemeClr val="accent1">
              <a:shade val="15000"/>
              <a:alpha val="63000"/>
            </a:schemeClr>
          </a:solidFill>
          <a:extLst>
            <a:ext uri="{C807C97D-BFC1-408E-A445-0C87EB9F89A2}">
              <ask:lineSketchStyleProps xmlns:ask="http://schemas.microsoft.com/office/drawing/2018/sketchyshapes">
                <ask:type>
                  <ask:lineSketchNone/>
                </ask:type>
              </ask:lineSketchStyleProps>
            </a:ext>
          </a:extLst>
        </a:ln>
        <a:effectLst>
          <a:outerShdw blurRad="584200" dist="50800" dir="5400000" sx="1000" sy="1000" algn="ctr" rotWithShape="0">
            <a:srgbClr val="000000">
              <a:alpha val="54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ECFDAA-3C28-45D6-BE84-7FCC9FAF737A}" type="TxLink">
            <a:rPr lang="en-US" sz="1600" b="0" i="0" u="none" strike="noStrike">
              <a:solidFill>
                <a:schemeClr val="bg1"/>
              </a:solidFill>
              <a:latin typeface="+mj-lt"/>
            </a:rPr>
            <a:pPr algn="ctr"/>
            <a:t>307</a:t>
          </a:fld>
          <a:endParaRPr lang="en-IN" sz="1600">
            <a:solidFill>
              <a:schemeClr val="bg1"/>
            </a:solidFill>
            <a:latin typeface="+mj-lt"/>
          </a:endParaRPr>
        </a:p>
      </xdr:txBody>
    </xdr:sp>
    <xdr:clientData/>
  </xdr:twoCellAnchor>
  <xdr:twoCellAnchor>
    <xdr:from>
      <xdr:col>1</xdr:col>
      <xdr:colOff>226541</xdr:colOff>
      <xdr:row>33</xdr:row>
      <xdr:rowOff>-1</xdr:rowOff>
    </xdr:from>
    <xdr:to>
      <xdr:col>2</xdr:col>
      <xdr:colOff>360405</xdr:colOff>
      <xdr:row>34</xdr:row>
      <xdr:rowOff>30891</xdr:rowOff>
    </xdr:to>
    <xdr:sp macro="" textlink="">
      <xdr:nvSpPr>
        <xdr:cNvPr id="23" name="TextBox 22">
          <a:extLst>
            <a:ext uri="{FF2B5EF4-FFF2-40B4-BE49-F238E27FC236}">
              <a16:creationId xmlns:a16="http://schemas.microsoft.com/office/drawing/2014/main" id="{2F139057-36EF-4773-6A1E-0C83985CA0B2}"/>
            </a:ext>
          </a:extLst>
        </xdr:cNvPr>
        <xdr:cNvSpPr txBox="1"/>
      </xdr:nvSpPr>
      <xdr:spPr>
        <a:xfrm>
          <a:off x="895865" y="6116594"/>
          <a:ext cx="803189" cy="216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5*Calls</a:t>
          </a:r>
        </a:p>
      </xdr:txBody>
    </xdr:sp>
    <xdr:clientData/>
  </xdr:twoCellAnchor>
  <xdr:twoCellAnchor>
    <xdr:from>
      <xdr:col>1</xdr:col>
      <xdr:colOff>164757</xdr:colOff>
      <xdr:row>36</xdr:row>
      <xdr:rowOff>0</xdr:rowOff>
    </xdr:from>
    <xdr:to>
      <xdr:col>2</xdr:col>
      <xdr:colOff>216243</xdr:colOff>
      <xdr:row>36</xdr:row>
      <xdr:rowOff>113270</xdr:rowOff>
    </xdr:to>
    <xdr:sp macro="" textlink="'Pivot '!E10">
      <xdr:nvSpPr>
        <xdr:cNvPr id="24" name="TextBox 23">
          <a:extLst>
            <a:ext uri="{FF2B5EF4-FFF2-40B4-BE49-F238E27FC236}">
              <a16:creationId xmlns:a16="http://schemas.microsoft.com/office/drawing/2014/main" id="{1E293E25-B349-DDE5-60AD-64A37CEB7720}"/>
            </a:ext>
          </a:extLst>
        </xdr:cNvPr>
        <xdr:cNvSpPr txBox="1"/>
      </xdr:nvSpPr>
      <xdr:spPr>
        <a:xfrm>
          <a:off x="834081" y="6672649"/>
          <a:ext cx="720811" cy="113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9B8127-EC9B-4A31-935F-17D40A7C5D8D}" type="TxLink">
            <a:rPr lang="en-US" sz="1100" b="0" i="0" u="none" strike="noStrike">
              <a:solidFill>
                <a:schemeClr val="bg1"/>
              </a:solidFill>
              <a:latin typeface="Aptos"/>
            </a:rPr>
            <a:pPr algn="ctr"/>
            <a:t>307</a:t>
          </a:fld>
          <a:endParaRPr lang="en-IN" sz="1100">
            <a:solidFill>
              <a:schemeClr val="bg1"/>
            </a:solidFill>
          </a:endParaRPr>
        </a:p>
      </xdr:txBody>
    </xdr:sp>
    <xdr:clientData/>
  </xdr:twoCellAnchor>
  <xdr:twoCellAnchor>
    <xdr:from>
      <xdr:col>3</xdr:col>
      <xdr:colOff>222250</xdr:colOff>
      <xdr:row>1</xdr:row>
      <xdr:rowOff>-1</xdr:rowOff>
    </xdr:from>
    <xdr:to>
      <xdr:col>9</xdr:col>
      <xdr:colOff>555625</xdr:colOff>
      <xdr:row>15</xdr:row>
      <xdr:rowOff>68036</xdr:rowOff>
    </xdr:to>
    <xdr:graphicFrame macro="">
      <xdr:nvGraphicFramePr>
        <xdr:cNvPr id="26" name="Chart 25">
          <a:extLst>
            <a:ext uri="{FF2B5EF4-FFF2-40B4-BE49-F238E27FC236}">
              <a16:creationId xmlns:a16="http://schemas.microsoft.com/office/drawing/2014/main" id="{7C53EBF4-1200-45C5-AD95-8731B75D6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660400</xdr:colOff>
      <xdr:row>1</xdr:row>
      <xdr:rowOff>73025</xdr:rowOff>
    </xdr:from>
    <xdr:to>
      <xdr:col>14</xdr:col>
      <xdr:colOff>593558</xdr:colOff>
      <xdr:row>14</xdr:row>
      <xdr:rowOff>60325</xdr:rowOff>
    </xdr:to>
    <xdr:graphicFrame macro="">
      <xdr:nvGraphicFramePr>
        <xdr:cNvPr id="27" name="Chart 26">
          <a:extLst>
            <a:ext uri="{FF2B5EF4-FFF2-40B4-BE49-F238E27FC236}">
              <a16:creationId xmlns:a16="http://schemas.microsoft.com/office/drawing/2014/main" id="{05184BE6-BF18-41D5-8174-2D91CFAAE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13</xdr:col>
      <xdr:colOff>226062</xdr:colOff>
      <xdr:row>18</xdr:row>
      <xdr:rowOff>180145</xdr:rowOff>
    </xdr:from>
    <xdr:to>
      <xdr:col>16</xdr:col>
      <xdr:colOff>19953</xdr:colOff>
      <xdr:row>33</xdr:row>
      <xdr:rowOff>70555</xdr:rowOff>
    </xdr:to>
    <mc:AlternateContent xmlns:mc="http://schemas.openxmlformats.org/markup-compatibility/2006">
      <mc:Choice xmlns:a14="http://schemas.microsoft.com/office/drawing/2010/main" Requires="a14">
        <xdr:graphicFrame macro="">
          <xdr:nvGraphicFramePr>
            <xdr:cNvPr id="25" name="Representative">
              <a:extLst>
                <a:ext uri="{FF2B5EF4-FFF2-40B4-BE49-F238E27FC236}">
                  <a16:creationId xmlns:a16="http://schemas.microsoft.com/office/drawing/2014/main" id="{25243030-3850-4153-A180-1A3FAECBC4E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8976362" y="3380545"/>
              <a:ext cx="1813191" cy="2557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250902</xdr:colOff>
      <xdr:row>20</xdr:row>
      <xdr:rowOff>37170</xdr:rowOff>
    </xdr:from>
    <xdr:to>
      <xdr:col>12</xdr:col>
      <xdr:colOff>297366</xdr:colOff>
      <xdr:row>35</xdr:row>
      <xdr:rowOff>46464</xdr:rowOff>
    </xdr:to>
    <xdr:sp macro="" textlink="">
      <xdr:nvSpPr>
        <xdr:cNvPr id="28" name="Rectangle 27">
          <a:extLst>
            <a:ext uri="{FF2B5EF4-FFF2-40B4-BE49-F238E27FC236}">
              <a16:creationId xmlns:a16="http://schemas.microsoft.com/office/drawing/2014/main" id="{9EA7C0C0-44DA-B828-DE6A-C02EB14545B5}"/>
            </a:ext>
          </a:extLst>
        </xdr:cNvPr>
        <xdr:cNvSpPr/>
      </xdr:nvSpPr>
      <xdr:spPr>
        <a:xfrm>
          <a:off x="2258122" y="3010829"/>
          <a:ext cx="6068122" cy="2797098"/>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237135</xdr:colOff>
      <xdr:row>20</xdr:row>
      <xdr:rowOff>41987</xdr:rowOff>
    </xdr:from>
    <xdr:to>
      <xdr:col>7</xdr:col>
      <xdr:colOff>608843</xdr:colOff>
      <xdr:row>36</xdr:row>
      <xdr:rowOff>23403</xdr:rowOff>
    </xdr:to>
    <xdr:graphicFrame macro="">
      <xdr:nvGraphicFramePr>
        <xdr:cNvPr id="4" name="Chart 3">
          <a:extLst>
            <a:ext uri="{FF2B5EF4-FFF2-40B4-BE49-F238E27FC236}">
              <a16:creationId xmlns:a16="http://schemas.microsoft.com/office/drawing/2014/main" id="{833418B5-A6EB-49CE-9642-C62F2833A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589913</xdr:colOff>
      <xdr:row>19</xdr:row>
      <xdr:rowOff>178282</xdr:rowOff>
    </xdr:from>
    <xdr:to>
      <xdr:col>12</xdr:col>
      <xdr:colOff>339011</xdr:colOff>
      <xdr:row>35</xdr:row>
      <xdr:rowOff>124936</xdr:rowOff>
    </xdr:to>
    <xdr:graphicFrame macro="">
      <xdr:nvGraphicFramePr>
        <xdr:cNvPr id="5" name="Chart 4">
          <a:extLst>
            <a:ext uri="{FF2B5EF4-FFF2-40B4-BE49-F238E27FC236}">
              <a16:creationId xmlns:a16="http://schemas.microsoft.com/office/drawing/2014/main" id="{C04811FC-2D5A-48BC-A301-38D9938FF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9292</xdr:colOff>
      <xdr:row>20</xdr:row>
      <xdr:rowOff>18585</xdr:rowOff>
    </xdr:from>
    <xdr:to>
      <xdr:col>6</xdr:col>
      <xdr:colOff>250902</xdr:colOff>
      <xdr:row>22</xdr:row>
      <xdr:rowOff>55756</xdr:rowOff>
    </xdr:to>
    <xdr:sp macro="" textlink="">
      <xdr:nvSpPr>
        <xdr:cNvPr id="29" name="TextBox 28">
          <a:extLst>
            <a:ext uri="{FF2B5EF4-FFF2-40B4-BE49-F238E27FC236}">
              <a16:creationId xmlns:a16="http://schemas.microsoft.com/office/drawing/2014/main" id="{BA3835F7-3F04-0501-AB82-1B5FFCEDF361}"/>
            </a:ext>
          </a:extLst>
        </xdr:cNvPr>
        <xdr:cNvSpPr txBox="1"/>
      </xdr:nvSpPr>
      <xdr:spPr>
        <a:xfrm>
          <a:off x="3354658" y="2992244"/>
          <a:ext cx="910683" cy="408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002060"/>
              </a:solidFill>
              <a:latin typeface="+mj-lt"/>
            </a:rPr>
            <a:t>Calls</a:t>
          </a:r>
        </a:p>
      </xdr:txBody>
    </xdr:sp>
    <xdr:clientData/>
  </xdr:twoCellAnchor>
  <xdr:twoCellAnchor>
    <xdr:from>
      <xdr:col>14</xdr:col>
      <xdr:colOff>629479</xdr:colOff>
      <xdr:row>1</xdr:row>
      <xdr:rowOff>59121</xdr:rowOff>
    </xdr:from>
    <xdr:to>
      <xdr:col>19</xdr:col>
      <xdr:colOff>381000</xdr:colOff>
      <xdr:row>14</xdr:row>
      <xdr:rowOff>85725</xdr:rowOff>
    </xdr:to>
    <xdr:graphicFrame macro="">
      <xdr:nvGraphicFramePr>
        <xdr:cNvPr id="30" name="Chart 29">
          <a:extLst>
            <a:ext uri="{FF2B5EF4-FFF2-40B4-BE49-F238E27FC236}">
              <a16:creationId xmlns:a16="http://schemas.microsoft.com/office/drawing/2014/main" id="{270A7E87-1C93-4D20-BEF8-D40567704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471714</xdr:colOff>
      <xdr:row>1</xdr:row>
      <xdr:rowOff>24190</xdr:rowOff>
    </xdr:from>
    <xdr:to>
      <xdr:col>24</xdr:col>
      <xdr:colOff>399143</xdr:colOff>
      <xdr:row>14</xdr:row>
      <xdr:rowOff>28575</xdr:rowOff>
    </xdr:to>
    <xdr:graphicFrame macro="">
      <xdr:nvGraphicFramePr>
        <xdr:cNvPr id="31" name="Chart 30">
          <a:extLst>
            <a:ext uri="{FF2B5EF4-FFF2-40B4-BE49-F238E27FC236}">
              <a16:creationId xmlns:a16="http://schemas.microsoft.com/office/drawing/2014/main" id="{4A4054E9-E957-43AD-95F5-0C5C7A79F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0.34234</cdr:x>
      <cdr:y>0</cdr:y>
    </cdr:from>
    <cdr:to>
      <cdr:x>0.75976</cdr:x>
      <cdr:y>0.06688</cdr:y>
    </cdr:to>
    <cdr:sp macro="" textlink="">
      <cdr:nvSpPr>
        <cdr:cNvPr id="2" name="TextBox 1">
          <a:extLst xmlns:a="http://schemas.openxmlformats.org/drawingml/2006/main">
            <a:ext uri="{FF2B5EF4-FFF2-40B4-BE49-F238E27FC236}">
              <a16:creationId xmlns:a16="http://schemas.microsoft.com/office/drawing/2014/main" id="{05F09EE7-CBE5-7855-4308-6017E7402076}"/>
            </a:ext>
          </a:extLst>
        </cdr:cNvPr>
        <cdr:cNvSpPr txBox="1"/>
      </cdr:nvSpPr>
      <cdr:spPr>
        <a:xfrm xmlns:a="http://schemas.openxmlformats.org/drawingml/2006/main">
          <a:off x="1059366" y="0"/>
          <a:ext cx="1291682" cy="1951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kern="1200">
              <a:solidFill>
                <a:srgbClr val="002060"/>
              </a:solidFill>
              <a:latin typeface="+mj-lt"/>
            </a:rPr>
            <a:t>Amount</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ganesh" refreshedDate="46293.839880555555" backgroundQuery="1" createdVersion="8" refreshedVersion="8" minRefreshableVersion="3" recordCount="0" supportSubquery="1" supportAdvancedDrill="1" xr:uid="{54BD25C6-E27A-496E-B299-FCC991D7B586}">
  <cacheSource type="external" connectionId="1"/>
  <cacheFields count="5">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Calls]" caption="5*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ganesh" refreshedDate="46294.530715856483" backgroundQuery="1" createdVersion="8" refreshedVersion="8" minRefreshableVersion="3" recordCount="0" supportSubquery="1" supportAdvancedDrill="1" xr:uid="{8B4BFCFB-6830-4CAD-9E41-277A2AF16808}">
  <cacheSource type="external" connectionId="1"/>
  <cacheFields count="6">
    <cacheField name="[calls].[Date of Call (Month)].[Date of Call (Month)]" caption="Date of Call (Month)" numFmtId="0" hierarchy="11" level="1">
      <sharedItems count="12">
        <s v="Jan"/>
        <s v="Feb"/>
        <s v="Mar"/>
        <s v="Apr"/>
        <s v="May"/>
        <s v="Jun"/>
        <s v="Jul"/>
        <s v="Aug"/>
        <s v="Sep"/>
        <s v="Oct"/>
        <s v="Nov"/>
        <s v="Dec"/>
      </sharedItems>
    </cacheField>
    <cacheField name="[calls].[Day of week].[Day of week]" caption="Day of week" numFmtId="0" hierarchy="8" level="1">
      <sharedItems count="7">
        <s v="Friday"/>
        <s v="Monday"/>
        <s v="Saturday"/>
        <s v="Sunday"/>
        <s v="Thursday"/>
        <s v="Tuesday"/>
        <s v="Wednesday"/>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0"/>
      </fieldsUsage>
    </cacheHierarchy>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oneField="1">
      <fieldsUsage count="1">
        <fieldUsage x="5"/>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ganesh" refreshedDate="46294.773956481484" backgroundQuery="1" createdVersion="8" refreshedVersion="8" minRefreshableVersion="3" recordCount="0" supportSubquery="1" supportAdvancedDrill="1" xr:uid="{D7ED7A12-B646-42A3-A1BF-BF60F439664F}">
  <cacheSource type="external" connectionId="1"/>
  <cacheFields count="6">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ganesh" refreshedDate="46294.773957060184" backgroundQuery="1" createdVersion="8" refreshedVersion="8" minRefreshableVersion="3" recordCount="0" supportSubquery="1" supportAdvancedDrill="1" xr:uid="{62829070-8D30-4C42-B080-DCEF631AE0DC}">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12-01T00:00:00" maxDate="2023-12-30T00:00:00" count="9">
        <d v="2023-12-01T00:00:00"/>
        <d v="2023-12-03T00:00:00"/>
        <d v="2023-12-08T00:00:00"/>
        <d v="2023-12-13T00:00:00"/>
        <d v="2023-12-15T00:00:00"/>
        <d v="2023-12-19T00:00:00"/>
        <d v="2023-12-24T00:00:00"/>
        <d v="2023-12-28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s count]" caption="Calls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ganesh" refreshedDate="46294.773957523146" backgroundQuery="1" createdVersion="8" refreshedVersion="8" minRefreshableVersion="3" recordCount="0" supportSubquery="1" supportAdvancedDrill="1" xr:uid="{E3160312-ED17-4084-9A39-B5114CBB274E}">
  <cacheSource type="external" connectionId="1"/>
  <cacheFields count="4">
    <cacheField name="[calls].[Representative].[Representative]" caption="Representative" numFmtId="0" hierarchy="3" level="1">
      <sharedItems containsSemiMixedTypes="0" containsNonDate="0" containsString="0"/>
    </cacheField>
    <cacheField name="[calls].[Date of Call (Month)].[Date of Call (Month)]" caption="Date of Call (Month)" numFmtId="0" hierarchy="11" level="1">
      <sharedItems count="12">
        <s v="Jan"/>
        <s v="Feb"/>
        <s v="Mar"/>
        <s v="Apr"/>
        <s v="May"/>
        <s v="Jun"/>
        <s v="Jul"/>
        <s v="Aug"/>
        <s v="Sep"/>
        <s v="Oct"/>
        <s v="Nov"/>
        <s v="Dec"/>
      </sharedItems>
    </cacheField>
    <cacheField name="[calls].[Day of week].[Day of week]" caption="Day of week" numFmtId="0" hierarchy="8" level="1">
      <sharedItems count="7">
        <s v="Friday"/>
        <s v="Monday"/>
        <s v="Saturday"/>
        <s v="Sunday"/>
        <s v="Thursday"/>
        <s v="Tuesday"/>
        <s v="Wednesday"/>
      </sharedItems>
    </cacheField>
    <cacheField name="[Measures].[Calls count]" caption="Calls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ganesh" refreshedDate="46294.773957870369" backgroundQuery="1" createdVersion="8" refreshedVersion="8" minRefreshableVersion="3" recordCount="0" supportSubquery="1" supportAdvancedDrill="1" xr:uid="{6B1BEF49-441F-45E3-A4C2-9E6417305A44}">
  <cacheSource type="external" connectionId="1"/>
  <cacheFields count="5">
    <cacheField name="[calls].[Representative].[Representative]" caption="Representative" numFmtId="0" hierarchy="3" level="1">
      <sharedItems count="5">
        <s v="R01"/>
        <s v="R02"/>
        <s v="R03"/>
        <s v="R04"/>
        <s v="R05"/>
      </sharedItems>
    </cacheField>
    <cacheField name="[calls].[Date of Call (Month)].[Date of Call (Month)]" caption="Date of Call (Month)" numFmtId="0" hierarchy="11" level="1">
      <sharedItems count="12">
        <s v="Jan"/>
        <s v="Feb"/>
        <s v="Mar"/>
        <s v="Apr"/>
        <s v="May"/>
        <s v="Jun"/>
        <s v="Jul"/>
        <s v="Aug"/>
        <s v="Sep"/>
        <s v="Oct"/>
        <s v="Nov"/>
        <s v="Dec"/>
      </sharedItems>
    </cacheField>
    <cacheField name="[calls].[Day of week].[Day of week]" caption="Day of week" numFmtId="0" hierarchy="8" level="1">
      <sharedItems count="7">
        <s v="Friday"/>
        <s v="Monday"/>
        <s v="Saturday"/>
        <s v="Sunday"/>
        <s v="Thursday"/>
        <s v="Tuesday"/>
        <s v="Wednesday"/>
      </sharedItems>
    </cacheField>
    <cacheField name="[Measures].[Calls count]" caption="Calls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3"/>
      </fieldsUsage>
    </cacheHierarchy>
    <cacheHierarchy uniqueName="[Measures].[Total amount]" caption="Total amount" measure="1" displayFolder="" measureGroup="calls" count="0" oneField="1">
      <fieldsUsage count="1">
        <fieldUsage x="4"/>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ganesh" refreshedDate="46294.773958217593" backgroundQuery="1" createdVersion="8" refreshedVersion="8" minRefreshableVersion="3" recordCount="0" supportSubquery="1" supportAdvancedDrill="1" xr:uid="{B7B107FD-1C14-476B-B876-9173A6C9565B}">
  <cacheSource type="external" connectionId="1"/>
  <cacheFields count="3">
    <cacheField name="[calls].[Date of Call (Month)].[Date of Call (Month)]" caption="Date of Call (Month)" numFmtId="0" hierarchy="11" level="1">
      <sharedItems count="12">
        <s v="Jan"/>
        <s v="Feb"/>
        <s v="Mar"/>
        <s v="Apr"/>
        <s v="May"/>
        <s v="Jun"/>
        <s v="Jul"/>
        <s v="Aug"/>
        <s v="Sep"/>
        <s v="Oct"/>
        <s v="Nov"/>
        <s v="Dec"/>
      </sharedItems>
    </cacheField>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unt="5">
        <s v="R01"/>
        <s v="R02"/>
        <s v="R03"/>
        <s v="R04"/>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0"/>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ganesh" refreshedDate="46294.773958564816" backgroundQuery="1" createdVersion="8" refreshedVersion="8" minRefreshableVersion="3" recordCount="0" supportSubquery="1" supportAdvancedDrill="1" xr:uid="{AD157547-AB6A-458E-A61B-4B6210E1ABF8}">
  <cacheSource type="external" connectionId="1"/>
  <cacheFields count="6">
    <cacheField name="[calls].[Date of Call (Month)].[Date of Call (Month)]" caption="Date of Call (Month)" numFmtId="0" hierarchy="11" level="1">
      <sharedItems count="12">
        <s v="Jan"/>
        <s v="Feb"/>
        <s v="Mar"/>
        <s v="Apr"/>
        <s v="May"/>
        <s v="Jun"/>
        <s v="Jul"/>
        <s v="Aug"/>
        <s v="Sep"/>
        <s v="Oct"/>
        <s v="Nov"/>
        <s v="Dec"/>
      </sharedItems>
    </cacheField>
    <cacheField name="[calls].[Day of week].[Day of week]" caption="Day of week" numFmtId="0" hierarchy="8" level="1">
      <sharedItems count="7">
        <s v="Friday"/>
        <s v="Monday"/>
        <s v="Saturday"/>
        <s v="Sunday"/>
        <s v="Thursday"/>
        <s v="Tuesday"/>
        <s v="Wednesday"/>
      </sharedItems>
    </cacheField>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s count]" caption="Calls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0"/>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4"/>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ganesh" refreshedDate="46294.773959027778" backgroundQuery="1" createdVersion="8" refreshedVersion="8" minRefreshableVersion="3" recordCount="0" supportSubquery="1" supportAdvancedDrill="1" xr:uid="{14F5193A-2B89-4B40-8B11-88EB7485B57C}">
  <cacheSource type="external" connectionId="1"/>
  <cacheFields count="5">
    <cacheField name="[calls].[Date of Call (Month)].[Date of Call (Month)]" caption="Date of Call (Month)" numFmtId="0" hierarchy="11" level="1">
      <sharedItems count="12">
        <s v="Jan"/>
        <s v="Feb"/>
        <s v="Mar"/>
        <s v="Apr"/>
        <s v="May"/>
        <s v="Jun"/>
        <s v="Jul"/>
        <s v="Aug"/>
        <s v="Sep"/>
        <s v="Oct"/>
        <s v="Nov"/>
        <s v="Dec"/>
      </sharedItems>
    </cacheField>
    <cacheField name="[calls].[Day of week].[Day of week]" caption="Day of week" numFmtId="0" hierarchy="8" level="1">
      <sharedItems count="7">
        <s v="Friday"/>
        <s v="Monday"/>
        <s v="Saturday"/>
        <s v="Sunday"/>
        <s v="Thursday"/>
        <s v="Tuesday"/>
        <s v="Wednesday"/>
      </sharedItems>
    </cacheField>
    <cacheField name="[Measures].[Calls count]" caption="Calls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3"/>
      </fieldsUsage>
    </cacheHierarchy>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0"/>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 ganesh" refreshedDate="46293.83987708333" backgroundQuery="1" createdVersion="3" refreshedVersion="8" minRefreshableVersion="3" recordCount="0" supportSubquery="1" supportAdvancedDrill="1" xr:uid="{AEE63262-13E6-413F-9707-63BB00C78C39}">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688270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88F9A8-3AEA-4BA4-B775-4F2B4504D4FA}" name="PivotTable4" cacheId="120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4">
  <location ref="N3:T23" firstHeaderRow="1" firstDataRow="2" firstDataCol="1"/>
  <pivotFields count="6">
    <pivotField allDrilled="1" subtotalTop="0" showAll="0" dataSourceSort="1" defaultSubtotal="0" defaultAttributeDrillState="1">
      <items count="12">
        <item x="0"/>
        <item x="1"/>
        <item x="2"/>
        <item x="3"/>
        <item x="4"/>
        <item x="5"/>
        <item x="6"/>
        <item x="7"/>
        <item x="8"/>
        <item x="9"/>
        <item x="10"/>
        <item n=" " x="11"/>
      </items>
    </pivotField>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2"/>
    <field x="3"/>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4"/>
  </colFields>
  <colItems count="6">
    <i>
      <x/>
    </i>
    <i>
      <x v="1"/>
    </i>
    <i>
      <x v="2"/>
    </i>
    <i>
      <x v="3"/>
    </i>
    <i>
      <x v="4"/>
    </i>
    <i t="grand">
      <x/>
    </i>
  </colItems>
  <dataFields count="1">
    <dataField fld="5"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5631F4-7978-495B-B173-C6EAA753A7E4}" name="PivotTable3" cacheId="229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4">
  <location ref="K14:L21" firstHeaderRow="1" firstDataRow="1" firstDataCol="1"/>
  <pivotFields count="5">
    <pivotField allDrilled="1" subtotalTop="0" showAll="0" dataSourceSort="1" defaultSubtotal="0" defaultAttributeDrillState="1">
      <items count="12">
        <item x="0"/>
        <item x="1"/>
        <item x="2"/>
        <item x="3"/>
        <item x="4"/>
        <item x="5"/>
        <item x="6"/>
        <item x="7"/>
        <item x="8"/>
        <item x="9"/>
        <item x="10"/>
        <item n=" " x="11"/>
      </items>
    </pivotField>
    <pivotField allDrilled="1" subtotalTop="0" showAll="0" sortType="ascending" defaultSubtotal="0" defaultAttributeDrillState="1">
      <items count="7">
        <item x="3"/>
        <item x="1"/>
        <item x="5"/>
        <item x="6"/>
        <item x="4"/>
        <item x="0"/>
        <item x="2"/>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7">
    <i>
      <x/>
    </i>
    <i>
      <x v="1"/>
    </i>
    <i>
      <x v="2"/>
    </i>
    <i>
      <x v="3"/>
    </i>
    <i>
      <x v="4"/>
    </i>
    <i>
      <x v="5"/>
    </i>
    <i t="grand">
      <x/>
    </i>
  </rowItems>
  <colItems count="1">
    <i/>
  </colItems>
  <dataFields count="1">
    <dataField fld="2" subtotal="count" baseField="0" baseItem="0"/>
  </dataFields>
  <chartFormats count="1">
    <chartFormat chart="3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97B617-CE0B-4461-B86A-0300739E6BA5}" name="model1" cacheId="229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5">
  <location ref="G23:J28" firstHeaderRow="1" firstDataRow="2" firstDataCol="1"/>
  <pivotFields count="6">
    <pivotField allDrilled="1" subtotalTop="0" showAll="0" dataSourceSort="1" defaultSubtotal="0" defaultAttributeDrillState="1">
      <items count="12">
        <item x="0"/>
        <item x="1"/>
        <item x="2"/>
        <item x="3"/>
        <item x="4"/>
        <item x="5"/>
        <item x="6"/>
        <item x="7"/>
        <item x="8"/>
        <item x="9"/>
        <item x="10"/>
        <item n=" " x="11"/>
      </items>
    </pivotField>
    <pivotField allDrilled="1" subtotalTop="0" showAll="0" sortType="ascending" defaultSubtotal="0" defaultAttributeDrillState="1">
      <items count="7">
        <item x="3"/>
        <item x="1"/>
        <item x="5"/>
        <item x="6"/>
        <item x="4"/>
        <item x="0"/>
        <item x="2"/>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3"/>
  </rowFields>
  <rowItems count="4">
    <i>
      <x/>
    </i>
    <i>
      <x v="1"/>
    </i>
    <i>
      <x v="2"/>
    </i>
    <i t="grand">
      <x/>
    </i>
  </rowItems>
  <colFields count="1">
    <field x="2"/>
  </colFields>
  <colItems count="3">
    <i>
      <x/>
    </i>
    <i>
      <x v="1"/>
    </i>
    <i t="grand">
      <x/>
    </i>
  </colItems>
  <dataFields count="1">
    <dataField fld="4" subtotal="count" baseField="0" baseItem="0"/>
  </dataFields>
  <chartFormats count="2">
    <chartFormat chart="34" format="4" series="1">
      <pivotArea type="data" outline="0" fieldPosition="0">
        <references count="2">
          <reference field="4294967294" count="1" selected="0">
            <x v="0"/>
          </reference>
          <reference field="2" count="1" selected="0">
            <x v="0"/>
          </reference>
        </references>
      </pivotArea>
    </chartFormat>
    <chartFormat chart="34" format="5" series="1">
      <pivotArea type="data" outline="0" fieldPosition="0">
        <references count="2">
          <reference field="4294967294" count="1" selected="0">
            <x v="0"/>
          </reference>
          <reference field="2" count="1" selected="0">
            <x v="1"/>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44E39F-8F6B-41C5-AECA-01BD1AB9F089}" name="select representative" cacheId="2288"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22">
  <location ref="L24:L29" firstHeaderRow="1" firstDataRow="1" firstDataCol="1"/>
  <pivotFields count="3">
    <pivotField allDrilled="1" subtotalTop="0" showAll="0" dataSourceSort="1" defaultSubtotal="0" defaultAttributeDrillState="1">
      <items count="12">
        <item x="0"/>
        <item x="1"/>
        <item x="2"/>
        <item x="3"/>
        <item x="4"/>
        <item x="5"/>
        <item x="6"/>
        <item x="7"/>
        <item x="8"/>
        <item x="9"/>
        <item x="10"/>
        <item n=" " x="11"/>
      </items>
    </pivotField>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5">
        <item x="0"/>
        <item x="1"/>
        <item x="2"/>
        <item x="3"/>
        <item x="4"/>
      </items>
    </pivotField>
  </pivotFields>
  <rowFields count="1">
    <field x="2"/>
  </rowFields>
  <rowItems count="5">
    <i>
      <x/>
    </i>
    <i>
      <x v="1"/>
    </i>
    <i>
      <x v="2"/>
    </i>
    <i>
      <x v="3"/>
    </i>
    <i>
      <x v="4"/>
    </i>
  </rowItem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9851DD-0BEC-4164-8526-CAB00C8234B3}" name="PivotTable7" cacheId="22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K3:L11" firstHeaderRow="1" firstDataRow="1" firstDataCol="1"/>
  <pivotFields count="4">
    <pivotField allDrilled="1" subtotalTop="0" showAll="0" dataSourceSort="1" defaultSubtotal="0" defaultAttributeDrillState="1"/>
    <pivotField allDrilled="1" subtotalTop="0" showAll="0" dataSourceSort="1" defaultSubtotal="0" defaultAttributeDrillState="1">
      <items count="12">
        <item x="0"/>
        <item x="1"/>
        <item x="2"/>
        <item x="3"/>
        <item x="4"/>
        <item x="5"/>
        <item x="6"/>
        <item x="7"/>
        <item x="8"/>
        <item x="9"/>
        <item x="10"/>
        <item n=" " x="11"/>
      </items>
    </pivotField>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fld="3" subtotal="count" baseField="0" baseItem="0"/>
  </dataField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99539B-D47C-4829-A071-EDB101750FC7}" name="PivotTable6" cacheId="22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G3:I1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12">
        <item x="0" e="0"/>
        <item x="1" e="0"/>
        <item x="2" e="0"/>
        <item x="3" e="0"/>
        <item x="4" e="0"/>
        <item x="5" e="0"/>
        <item x="6" e="0"/>
        <item x="7" e="0"/>
        <item x="8" e="0"/>
        <item x="9" e="0"/>
        <item x="10" e="0"/>
        <item n=" "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s count2" fld="4" subtotal="count" baseField="0" baseItem="0">
      <extLst>
        <ext xmlns:x14="http://schemas.microsoft.com/office/spreadsheetml/2009/9/main" uri="{E15A36E0-9728-4e99-A89B-3F7291B0FE68}">
          <x14:dataField sourceField="3" uniqueName="[__Xl2].[Measures].[Calls count]"/>
        </ext>
      </extLst>
    </dataField>
  </dataFields>
  <chartFormats count="2">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6749FB-A99C-482C-8B34-21B5ACB8F421}" name="Rep" cacheId="22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E63FB3-DB45-4B99-ACB3-53DBAEC45787}" name="Summary" cacheId="9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C6C2CB-60EA-4DB6-9615-C4DDDDED0EB6}" name="PivotTable8" cacheId="22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13:C19" firstHeaderRow="0" firstDataRow="1" firstDataCol="1"/>
  <pivotFields count="5">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items count="12">
        <item x="0"/>
        <item x="1"/>
        <item x="2"/>
        <item x="3"/>
        <item x="4"/>
        <item x="5"/>
        <item x="6"/>
        <item x="7"/>
        <item x="8"/>
        <item x="9"/>
        <item x="10"/>
        <item n=" " x="11"/>
      </items>
    </pivotField>
    <pivotField allDrilled="1" subtotalTop="0" showAll="0" sortType="ascending" defaultSubtotal="0" defaultAttributeDrillState="1">
      <items count="7">
        <item x="3"/>
        <item x="1"/>
        <item x="5"/>
        <item x="6"/>
        <item x="4"/>
        <item x="0"/>
        <item x="2"/>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3" subtotal="count" baseField="0" baseItem="0"/>
    <dataField fld="4"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A5508431-5B1D-426C-AA4E-40B5682123A2}" sourceName="[calls].[Representative]">
  <pivotTables>
    <pivotTable tabId="7" name="Rep"/>
    <pivotTable tabId="7" name="PivotTable6"/>
    <pivotTable tabId="7" name="PivotTable7"/>
    <pivotTable tabId="7" name="PivotTable8"/>
    <pivotTable tabId="7" name="select representative"/>
    <pivotTable tabId="7" name="model1"/>
    <pivotTable tabId="7" name="PivotTable3"/>
  </pivotTables>
  <data>
    <olap pivotCacheId="96882702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BB5A3F03-24DC-4276-A8E0-5AD853017E3F}" cache="Slicer_Representative" caption="Representative" level="1"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7"/>
    <tableColumn id="5" xr3:uid="{5A35565E-8707-4DED-AD15-A0669D67B382}" name="Date of Call" dataDxfId="16"/>
    <tableColumn id="6" xr3:uid="{F2E4F158-B41F-47BC-8DF8-DFCADFEE4E40}" name="Purchase Amount"/>
    <tableColumn id="7" xr3:uid="{04B291B5-47BD-4F78-8FD8-D1551CCA6BD9}" name="Satisfaction Rating"/>
    <tableColumn id="8" xr3:uid="{6E4123C0-0B17-43B8-A142-A1E540CE974C}" name="FY" dataDxfId="15">
      <calculatedColumnFormula>IF(MONTH(calls[[#This Row],[Date of Call]])&lt;=6, YEAR(calls[[#This Row],[Date of Call]]), YEAR(calls[[#This Row],[Date of Call]])+1)</calculatedColumnFormula>
    </tableColumn>
    <tableColumn id="9" xr3:uid="{199FA271-5E9B-46CE-9BC6-2801F92CD17E}" name="Day of week" dataDxfId="14">
      <calculatedColumnFormula>TEXT(calls[[#This Row],[Date of Call]],"DDDD")</calculatedColumnFormula>
    </tableColumn>
    <tableColumn id="10" xr3:uid="{328CDB09-95B8-4D5E-9ED9-EF0D363735A1}" name="Duration Bucket" dataDxfId="13">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2">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1" headerRowBorderDxfId="10" tableBorderDxfId="9" totalsRowBorderDxfId="8">
  <autoFilter ref="Q3:T18" xr:uid="{27158F51-A707-4171-8A04-81FB0AABCBA5}"/>
  <tableColumns count="4">
    <tableColumn id="1" xr3:uid="{02688061-6A8C-4E23-B7FF-D00CD8B58CAC}" name="Customer ID" dataDxfId="7"/>
    <tableColumn id="2" xr3:uid="{771678B6-DB44-426B-9874-B4E421A440D5}" name="Gedner" dataDxfId="6"/>
    <tableColumn id="3" xr3:uid="{B0D41C62-587E-494D-B49A-603F2C05F8D3}" name="Age" dataDxfId="5"/>
    <tableColumn id="4" xr3:uid="{663F92D6-FE31-4D81-9E01-8D066DDC8A88}" name="City" data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A787F-B05E-45E0-B514-DD4078536DBB}">
  <dimension ref="A3:T36"/>
  <sheetViews>
    <sheetView topLeftCell="D10" zoomScale="67" zoomScaleNormal="165" workbookViewId="0">
      <selection activeCell="L24" sqref="L24:L29"/>
    </sheetView>
  </sheetViews>
  <sheetFormatPr defaultRowHeight="14.4" x14ac:dyDescent="0.3"/>
  <cols>
    <col min="1" max="1" width="10.5" bestFit="1" customWidth="1"/>
    <col min="2" max="3" width="12.69921875" bestFit="1" customWidth="1"/>
    <col min="4" max="4" width="10.5" bestFit="1" customWidth="1"/>
    <col min="5" max="5" width="12.09765625" bestFit="1" customWidth="1"/>
    <col min="6" max="7" width="6.8984375" bestFit="1" customWidth="1"/>
    <col min="9" max="9" width="13.19921875" customWidth="1"/>
    <col min="11" max="11" width="12.69921875" bestFit="1" customWidth="1"/>
    <col min="12" max="12" width="10.5" bestFit="1" customWidth="1"/>
    <col min="13" max="13" width="11.3984375" bestFit="1" customWidth="1"/>
  </cols>
  <sheetData>
    <row r="3" spans="1:20" x14ac:dyDescent="0.3">
      <c r="A3" t="s">
        <v>1049</v>
      </c>
      <c r="B3" t="s">
        <v>1050</v>
      </c>
      <c r="C3" t="s">
        <v>1051</v>
      </c>
      <c r="D3" t="s">
        <v>1052</v>
      </c>
      <c r="E3" t="s">
        <v>1053</v>
      </c>
      <c r="G3" s="24" t="s">
        <v>1040</v>
      </c>
      <c r="H3" t="s">
        <v>1049</v>
      </c>
      <c r="I3" t="s">
        <v>1066</v>
      </c>
      <c r="K3" s="24" t="s">
        <v>1040</v>
      </c>
      <c r="L3" t="s">
        <v>1049</v>
      </c>
      <c r="N3" s="24" t="s">
        <v>1050</v>
      </c>
      <c r="O3" s="24" t="s">
        <v>1069</v>
      </c>
    </row>
    <row r="4" spans="1:20" x14ac:dyDescent="0.3">
      <c r="A4" s="21">
        <v>1000</v>
      </c>
      <c r="B4" s="22">
        <v>96623</v>
      </c>
      <c r="C4">
        <v>89850</v>
      </c>
      <c r="D4" s="23">
        <v>3.8854000000000033</v>
      </c>
      <c r="E4">
        <v>307</v>
      </c>
      <c r="G4" s="25" t="s">
        <v>1054</v>
      </c>
      <c r="H4" s="21">
        <v>79</v>
      </c>
      <c r="I4" s="21">
        <v>79</v>
      </c>
      <c r="K4" s="25" t="s">
        <v>1042</v>
      </c>
      <c r="L4" s="21">
        <v>146</v>
      </c>
      <c r="N4" s="24" t="s">
        <v>1040</v>
      </c>
      <c r="O4" t="s">
        <v>11</v>
      </c>
      <c r="P4" t="s">
        <v>9</v>
      </c>
      <c r="Q4" t="s">
        <v>6</v>
      </c>
      <c r="R4" t="s">
        <v>13</v>
      </c>
      <c r="S4" t="s">
        <v>10</v>
      </c>
      <c r="T4" t="s">
        <v>1041</v>
      </c>
    </row>
    <row r="5" spans="1:20" x14ac:dyDescent="0.3">
      <c r="G5" s="25" t="s">
        <v>1055</v>
      </c>
      <c r="H5" s="21">
        <v>66</v>
      </c>
      <c r="I5" s="21">
        <v>66</v>
      </c>
      <c r="K5" s="25" t="s">
        <v>1043</v>
      </c>
      <c r="L5" s="21">
        <v>133</v>
      </c>
      <c r="N5" s="25" t="s">
        <v>1002</v>
      </c>
      <c r="O5" s="28"/>
      <c r="P5" s="28"/>
      <c r="Q5" s="28"/>
      <c r="R5" s="28"/>
      <c r="S5" s="28"/>
      <c r="T5" s="28"/>
    </row>
    <row r="6" spans="1:20" x14ac:dyDescent="0.3">
      <c r="G6" s="25" t="s">
        <v>1056</v>
      </c>
      <c r="H6" s="21">
        <v>155</v>
      </c>
      <c r="I6" s="21">
        <v>155</v>
      </c>
      <c r="K6" s="25" t="s">
        <v>1044</v>
      </c>
      <c r="L6" s="21">
        <v>138</v>
      </c>
      <c r="N6" s="29" t="s">
        <v>20</v>
      </c>
      <c r="O6" s="27">
        <v>891</v>
      </c>
      <c r="P6" s="27">
        <v>1332</v>
      </c>
      <c r="Q6" s="27">
        <v>1282</v>
      </c>
      <c r="R6" s="27">
        <v>739</v>
      </c>
      <c r="S6" s="27">
        <v>560</v>
      </c>
      <c r="T6" s="27">
        <v>4804</v>
      </c>
    </row>
    <row r="7" spans="1:20" x14ac:dyDescent="0.3">
      <c r="G7" s="25" t="s">
        <v>1057</v>
      </c>
      <c r="H7" s="21">
        <v>136</v>
      </c>
      <c r="I7" s="21">
        <v>136</v>
      </c>
      <c r="K7" s="25" t="s">
        <v>1045</v>
      </c>
      <c r="L7" s="21">
        <v>153</v>
      </c>
      <c r="N7" s="29" t="s">
        <v>12</v>
      </c>
      <c r="O7" s="27">
        <v>1991</v>
      </c>
      <c r="P7" s="27">
        <v>1886</v>
      </c>
      <c r="Q7" s="27">
        <v>1206</v>
      </c>
      <c r="R7" s="27">
        <v>884</v>
      </c>
      <c r="S7" s="27">
        <v>1722</v>
      </c>
      <c r="T7" s="27">
        <v>7689</v>
      </c>
    </row>
    <row r="8" spans="1:20" x14ac:dyDescent="0.3">
      <c r="G8" s="25" t="s">
        <v>1058</v>
      </c>
      <c r="H8" s="21">
        <v>83</v>
      </c>
      <c r="I8" s="21">
        <v>83</v>
      </c>
      <c r="K8" s="25" t="s">
        <v>1046</v>
      </c>
      <c r="L8" s="21">
        <v>128</v>
      </c>
      <c r="N8" s="29" t="s">
        <v>8</v>
      </c>
      <c r="O8" s="27">
        <v>1163</v>
      </c>
      <c r="P8" s="27">
        <v>1180</v>
      </c>
      <c r="Q8" s="27">
        <v>1616</v>
      </c>
      <c r="R8" s="27">
        <v>1043</v>
      </c>
      <c r="S8" s="27">
        <v>1747</v>
      </c>
      <c r="T8" s="27">
        <v>6749</v>
      </c>
    </row>
    <row r="9" spans="1:20" x14ac:dyDescent="0.3">
      <c r="A9" t="s">
        <v>1049</v>
      </c>
      <c r="B9" t="s">
        <v>1050</v>
      </c>
      <c r="C9" t="s">
        <v>1051</v>
      </c>
      <c r="D9" t="s">
        <v>1052</v>
      </c>
      <c r="E9" t="s">
        <v>1053</v>
      </c>
      <c r="G9" s="25" t="s">
        <v>1059</v>
      </c>
      <c r="H9" s="21">
        <v>67</v>
      </c>
      <c r="I9" s="21">
        <v>67</v>
      </c>
      <c r="K9" s="25" t="s">
        <v>1047</v>
      </c>
      <c r="L9" s="21">
        <v>141</v>
      </c>
      <c r="N9" s="29" t="s">
        <v>16</v>
      </c>
      <c r="O9" s="27">
        <v>1438</v>
      </c>
      <c r="P9" s="27">
        <v>1616</v>
      </c>
      <c r="Q9" s="27">
        <v>866</v>
      </c>
      <c r="R9" s="27">
        <v>829</v>
      </c>
      <c r="S9" s="27">
        <v>2070</v>
      </c>
      <c r="T9" s="27">
        <v>6819</v>
      </c>
    </row>
    <row r="10" spans="1:20" x14ac:dyDescent="0.3">
      <c r="A10" s="21">
        <v>1000</v>
      </c>
      <c r="B10" s="27">
        <v>96623</v>
      </c>
      <c r="C10" s="28">
        <v>89850</v>
      </c>
      <c r="D10" s="23">
        <v>3.8854000000000033</v>
      </c>
      <c r="E10" s="28">
        <v>307</v>
      </c>
      <c r="G10" s="25" t="s">
        <v>1060</v>
      </c>
      <c r="H10" s="21">
        <v>64</v>
      </c>
      <c r="I10" s="21">
        <v>64</v>
      </c>
      <c r="K10" s="25" t="s">
        <v>1048</v>
      </c>
      <c r="L10" s="21">
        <v>161</v>
      </c>
      <c r="N10" s="25" t="s">
        <v>1001</v>
      </c>
      <c r="O10" s="28"/>
      <c r="P10" s="28"/>
      <c r="Q10" s="28"/>
      <c r="R10" s="28"/>
      <c r="S10" s="28"/>
      <c r="T10" s="28"/>
    </row>
    <row r="11" spans="1:20" x14ac:dyDescent="0.3">
      <c r="G11" s="25" t="s">
        <v>1061</v>
      </c>
      <c r="H11" s="21">
        <v>50</v>
      </c>
      <c r="I11" s="21">
        <v>50</v>
      </c>
      <c r="K11" s="25" t="s">
        <v>1041</v>
      </c>
      <c r="L11" s="21">
        <v>1000</v>
      </c>
      <c r="N11" s="29" t="s">
        <v>24</v>
      </c>
      <c r="O11" s="27">
        <v>1233</v>
      </c>
      <c r="P11" s="27">
        <v>223</v>
      </c>
      <c r="Q11" s="27">
        <v>1680</v>
      </c>
      <c r="R11" s="27">
        <v>990</v>
      </c>
      <c r="S11" s="27">
        <v>1508</v>
      </c>
      <c r="T11" s="27">
        <v>5634</v>
      </c>
    </row>
    <row r="12" spans="1:20" x14ac:dyDescent="0.3">
      <c r="G12" s="25" t="s">
        <v>1062</v>
      </c>
      <c r="H12" s="21">
        <v>76</v>
      </c>
      <c r="I12" s="21">
        <v>76</v>
      </c>
      <c r="N12" s="29" t="s">
        <v>15</v>
      </c>
      <c r="O12" s="27">
        <v>1598</v>
      </c>
      <c r="P12" s="27">
        <v>1907</v>
      </c>
      <c r="Q12" s="27">
        <v>869</v>
      </c>
      <c r="R12" s="27">
        <v>1426</v>
      </c>
      <c r="S12" s="27">
        <v>1416</v>
      </c>
      <c r="T12" s="27">
        <v>7216</v>
      </c>
    </row>
    <row r="13" spans="1:20" x14ac:dyDescent="0.3">
      <c r="A13" s="24" t="s">
        <v>1040</v>
      </c>
      <c r="B13" t="s">
        <v>1049</v>
      </c>
      <c r="C13" t="s">
        <v>1050</v>
      </c>
      <c r="G13" s="25" t="s">
        <v>1063</v>
      </c>
      <c r="H13" s="21">
        <v>114</v>
      </c>
      <c r="I13" s="21">
        <v>114</v>
      </c>
      <c r="N13" s="29" t="s">
        <v>5</v>
      </c>
      <c r="O13" s="27">
        <v>900</v>
      </c>
      <c r="P13" s="27">
        <v>1016</v>
      </c>
      <c r="Q13" s="27">
        <v>960</v>
      </c>
      <c r="R13" s="27">
        <v>940</v>
      </c>
      <c r="S13" s="27">
        <v>1193</v>
      </c>
      <c r="T13" s="27">
        <v>5009</v>
      </c>
    </row>
    <row r="14" spans="1:20" x14ac:dyDescent="0.3">
      <c r="A14" s="25" t="s">
        <v>11</v>
      </c>
      <c r="B14" s="21">
        <v>189</v>
      </c>
      <c r="C14" s="27">
        <v>18415</v>
      </c>
      <c r="G14" s="25" t="s">
        <v>1064</v>
      </c>
      <c r="H14" s="21">
        <v>57</v>
      </c>
      <c r="I14" s="21">
        <v>57</v>
      </c>
      <c r="K14" s="24" t="s">
        <v>1040</v>
      </c>
      <c r="L14" t="s">
        <v>1049</v>
      </c>
      <c r="N14" s="29" t="s">
        <v>18</v>
      </c>
      <c r="O14" s="27">
        <v>900</v>
      </c>
      <c r="P14" s="27">
        <v>1470</v>
      </c>
      <c r="Q14" s="27">
        <v>1617</v>
      </c>
      <c r="R14" s="27">
        <v>1314</v>
      </c>
      <c r="S14" s="27">
        <v>941</v>
      </c>
      <c r="T14" s="27">
        <v>6242</v>
      </c>
    </row>
    <row r="15" spans="1:20" x14ac:dyDescent="0.3">
      <c r="A15" s="25" t="s">
        <v>9</v>
      </c>
      <c r="B15" s="21">
        <v>218</v>
      </c>
      <c r="C15" s="27">
        <v>20581</v>
      </c>
      <c r="G15" s="25" t="s">
        <v>1065</v>
      </c>
      <c r="H15" s="21">
        <v>53</v>
      </c>
      <c r="I15" s="21">
        <v>53</v>
      </c>
      <c r="K15" s="25">
        <v>0</v>
      </c>
      <c r="L15" s="21">
        <v>1</v>
      </c>
      <c r="N15" s="29" t="s">
        <v>14</v>
      </c>
      <c r="O15" s="27">
        <v>1255</v>
      </c>
      <c r="P15" s="27">
        <v>516</v>
      </c>
      <c r="Q15" s="27">
        <v>1874</v>
      </c>
      <c r="R15" s="27">
        <v>1863</v>
      </c>
      <c r="S15" s="27">
        <v>1722</v>
      </c>
      <c r="T15" s="27">
        <v>7230</v>
      </c>
    </row>
    <row r="16" spans="1:20" x14ac:dyDescent="0.3">
      <c r="A16" s="25" t="s">
        <v>6</v>
      </c>
      <c r="B16" s="21">
        <v>207</v>
      </c>
      <c r="C16" s="27">
        <v>20872</v>
      </c>
      <c r="G16" s="25" t="s">
        <v>1041</v>
      </c>
      <c r="H16" s="21">
        <v>1000</v>
      </c>
      <c r="I16" s="21">
        <v>1000</v>
      </c>
      <c r="K16" s="25">
        <v>1</v>
      </c>
      <c r="L16" s="21">
        <v>8</v>
      </c>
      <c r="N16" s="29" t="s">
        <v>19</v>
      </c>
      <c r="O16" s="27">
        <v>1138</v>
      </c>
      <c r="P16" s="27">
        <v>1898</v>
      </c>
      <c r="Q16" s="27">
        <v>1482</v>
      </c>
      <c r="R16" s="27">
        <v>846</v>
      </c>
      <c r="S16" s="27">
        <v>1154</v>
      </c>
      <c r="T16" s="27">
        <v>6518</v>
      </c>
    </row>
    <row r="17" spans="1:20" x14ac:dyDescent="0.3">
      <c r="A17" s="25" t="s">
        <v>13</v>
      </c>
      <c r="B17" s="21">
        <v>186</v>
      </c>
      <c r="C17" s="27">
        <v>16651</v>
      </c>
      <c r="K17" s="25">
        <v>2</v>
      </c>
      <c r="L17" s="21">
        <v>59</v>
      </c>
      <c r="N17" s="25" t="s">
        <v>1000</v>
      </c>
      <c r="O17" s="28"/>
      <c r="P17" s="28"/>
      <c r="Q17" s="28"/>
      <c r="R17" s="28"/>
      <c r="S17" s="28"/>
      <c r="T17" s="28"/>
    </row>
    <row r="18" spans="1:20" x14ac:dyDescent="0.3">
      <c r="A18" s="25" t="s">
        <v>10</v>
      </c>
      <c r="B18" s="21">
        <v>200</v>
      </c>
      <c r="C18" s="27">
        <v>20104</v>
      </c>
      <c r="K18" s="25">
        <v>3</v>
      </c>
      <c r="L18" s="21">
        <v>197</v>
      </c>
      <c r="N18" s="29" t="s">
        <v>17</v>
      </c>
      <c r="O18" s="27">
        <v>1655</v>
      </c>
      <c r="P18" s="27">
        <v>805</v>
      </c>
      <c r="Q18" s="27">
        <v>2263</v>
      </c>
      <c r="R18" s="27">
        <v>987</v>
      </c>
      <c r="S18" s="27">
        <v>1075</v>
      </c>
      <c r="T18" s="27">
        <v>6785</v>
      </c>
    </row>
    <row r="19" spans="1:20" x14ac:dyDescent="0.3">
      <c r="A19" s="25" t="s">
        <v>1041</v>
      </c>
      <c r="B19" s="21">
        <v>1000</v>
      </c>
      <c r="C19" s="27">
        <v>96623</v>
      </c>
      <c r="K19" s="25">
        <v>4</v>
      </c>
      <c r="L19" s="21">
        <v>428</v>
      </c>
      <c r="N19" s="29" t="s">
        <v>23</v>
      </c>
      <c r="O19" s="27">
        <v>1104</v>
      </c>
      <c r="P19" s="27">
        <v>2280</v>
      </c>
      <c r="Q19" s="27">
        <v>1445</v>
      </c>
      <c r="R19" s="27">
        <v>1722</v>
      </c>
      <c r="S19" s="27">
        <v>1196</v>
      </c>
      <c r="T19" s="27">
        <v>7747</v>
      </c>
    </row>
    <row r="20" spans="1:20" x14ac:dyDescent="0.3">
      <c r="K20" s="25">
        <v>5</v>
      </c>
      <c r="L20" s="21">
        <v>307</v>
      </c>
      <c r="N20" s="29" t="s">
        <v>7</v>
      </c>
      <c r="O20" s="27">
        <v>372</v>
      </c>
      <c r="P20" s="27">
        <v>1818</v>
      </c>
      <c r="Q20" s="27">
        <v>1346</v>
      </c>
      <c r="R20" s="27">
        <v>1156</v>
      </c>
      <c r="S20" s="27">
        <v>1484</v>
      </c>
      <c r="T20" s="27">
        <v>6176</v>
      </c>
    </row>
    <row r="21" spans="1:20" x14ac:dyDescent="0.3">
      <c r="K21" s="25" t="s">
        <v>1041</v>
      </c>
      <c r="L21" s="21">
        <v>1000</v>
      </c>
      <c r="N21" s="29" t="s">
        <v>22</v>
      </c>
      <c r="O21" s="27">
        <v>1415</v>
      </c>
      <c r="P21" s="27">
        <v>1271</v>
      </c>
      <c r="Q21" s="27">
        <v>1214</v>
      </c>
      <c r="R21" s="27">
        <v>1135</v>
      </c>
      <c r="S21" s="27">
        <v>1566</v>
      </c>
      <c r="T21" s="27">
        <v>6601</v>
      </c>
    </row>
    <row r="22" spans="1:20" x14ac:dyDescent="0.3">
      <c r="D22" t="s">
        <v>1067</v>
      </c>
      <c r="E22" t="s">
        <v>1068</v>
      </c>
      <c r="N22" s="29" t="s">
        <v>21</v>
      </c>
      <c r="O22" s="27">
        <v>1362</v>
      </c>
      <c r="P22" s="27">
        <v>1363</v>
      </c>
      <c r="Q22" s="27">
        <v>1152</v>
      </c>
      <c r="R22" s="27">
        <v>777</v>
      </c>
      <c r="S22" s="27">
        <v>750</v>
      </c>
      <c r="T22" s="27">
        <v>5404</v>
      </c>
    </row>
    <row r="23" spans="1:20" x14ac:dyDescent="0.3">
      <c r="A23" t="str" cm="1">
        <f t="array" ref="A23:C27">A14:C18</f>
        <v>R01</v>
      </c>
      <c r="B23">
        <v>189</v>
      </c>
      <c r="C23" s="26">
        <v>18415</v>
      </c>
      <c r="D23">
        <f>IF(A23=K36,B23,NA())</f>
        <v>189</v>
      </c>
      <c r="E23">
        <f>IF(A23=K36,C23,NA())</f>
        <v>18415</v>
      </c>
      <c r="G23" s="24" t="s">
        <v>1049</v>
      </c>
      <c r="H23" s="24" t="s">
        <v>1069</v>
      </c>
      <c r="N23" s="25" t="s">
        <v>1041</v>
      </c>
      <c r="O23" s="27">
        <v>18415</v>
      </c>
      <c r="P23" s="27">
        <v>20581</v>
      </c>
      <c r="Q23" s="27">
        <v>20872</v>
      </c>
      <c r="R23" s="27">
        <v>16651</v>
      </c>
      <c r="S23" s="27">
        <v>20104</v>
      </c>
      <c r="T23" s="27">
        <v>96623</v>
      </c>
    </row>
    <row r="24" spans="1:20" x14ac:dyDescent="0.3">
      <c r="A24" t="str">
        <v>R02</v>
      </c>
      <c r="B24">
        <v>218</v>
      </c>
      <c r="C24" s="26">
        <v>20581</v>
      </c>
      <c r="D24" t="e">
        <f>IF(A24=K37,B24,NA())</f>
        <v>#N/A</v>
      </c>
      <c r="E24" t="e">
        <f>IF(A24=K37,C24,NA())</f>
        <v>#N/A</v>
      </c>
      <c r="G24" s="24" t="s">
        <v>1040</v>
      </c>
      <c r="H24" t="s">
        <v>999</v>
      </c>
      <c r="I24" t="s">
        <v>998</v>
      </c>
      <c r="J24" t="s">
        <v>1041</v>
      </c>
      <c r="L24" s="24" t="s">
        <v>1040</v>
      </c>
    </row>
    <row r="25" spans="1:20" x14ac:dyDescent="0.3">
      <c r="A25" t="str">
        <v>R03</v>
      </c>
      <c r="B25">
        <v>207</v>
      </c>
      <c r="C25" s="26">
        <v>20872</v>
      </c>
      <c r="D25" t="e">
        <f>IF(A25=D22,B25,NA())</f>
        <v>#N/A</v>
      </c>
      <c r="E25" t="e">
        <f>IF(A25=D22,C25,NA())</f>
        <v>#N/A</v>
      </c>
      <c r="G25" s="25" t="s">
        <v>1002</v>
      </c>
      <c r="H25" s="21">
        <v>144</v>
      </c>
      <c r="I25" s="21">
        <v>132</v>
      </c>
      <c r="J25" s="21">
        <v>276</v>
      </c>
      <c r="L25" s="25" t="s">
        <v>11</v>
      </c>
    </row>
    <row r="26" spans="1:20" x14ac:dyDescent="0.3">
      <c r="A26" t="str">
        <v>R04</v>
      </c>
      <c r="B26">
        <v>186</v>
      </c>
      <c r="C26" s="26">
        <v>16651</v>
      </c>
      <c r="D26" t="e">
        <f>IF(A26=D23,B26,NA())</f>
        <v>#N/A</v>
      </c>
      <c r="E26" t="e">
        <f>IF(A26=D23,C26,NA())</f>
        <v>#N/A</v>
      </c>
      <c r="G26" s="25" t="s">
        <v>1001</v>
      </c>
      <c r="H26" s="21">
        <v>326</v>
      </c>
      <c r="I26" s="21">
        <v>63</v>
      </c>
      <c r="J26" s="21">
        <v>389</v>
      </c>
      <c r="L26" s="25" t="s">
        <v>9</v>
      </c>
    </row>
    <row r="27" spans="1:20" x14ac:dyDescent="0.3">
      <c r="A27" t="str">
        <v>R05</v>
      </c>
      <c r="B27">
        <v>200</v>
      </c>
      <c r="C27" s="26">
        <v>20104</v>
      </c>
      <c r="D27" t="e">
        <f>IF(A27=D24,B27,NA())</f>
        <v>#N/A</v>
      </c>
      <c r="E27" t="e">
        <f>IF(A27=D24,C27,NA())</f>
        <v>#N/A</v>
      </c>
      <c r="G27" s="25" t="s">
        <v>1000</v>
      </c>
      <c r="H27" s="21">
        <v>129</v>
      </c>
      <c r="I27" s="21">
        <v>206</v>
      </c>
      <c r="J27" s="21">
        <v>335</v>
      </c>
      <c r="L27" s="25" t="s">
        <v>6</v>
      </c>
    </row>
    <row r="28" spans="1:20" x14ac:dyDescent="0.3">
      <c r="G28" s="25" t="s">
        <v>1041</v>
      </c>
      <c r="H28" s="21">
        <v>599</v>
      </c>
      <c r="I28" s="21">
        <v>401</v>
      </c>
      <c r="J28" s="21">
        <v>1000</v>
      </c>
      <c r="L28" s="25" t="s">
        <v>13</v>
      </c>
    </row>
    <row r="29" spans="1:20" x14ac:dyDescent="0.3">
      <c r="L29" s="25" t="s">
        <v>10</v>
      </c>
    </row>
    <row r="36" spans="11:11" x14ac:dyDescent="0.3">
      <c r="K36" t="str">
        <f>L25</f>
        <v>R01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85" zoomScaleNormal="115" workbookViewId="0">
      <selection activeCell="E10" sqref="E10"/>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E8920-3D26-478A-98D3-98282C69182C}">
  <dimension ref="Q17:X38"/>
  <sheetViews>
    <sheetView tabSelected="1" zoomScale="60" zoomScaleNormal="54" workbookViewId="0">
      <selection activeCell="J40" sqref="J40"/>
    </sheetView>
  </sheetViews>
  <sheetFormatPr defaultRowHeight="14.4" x14ac:dyDescent="0.3"/>
  <cols>
    <col min="1" max="16" width="8.796875" style="20"/>
    <col min="17" max="17" width="12.59765625" style="20" customWidth="1"/>
    <col min="18" max="16384" width="8.796875" style="20"/>
  </cols>
  <sheetData>
    <row r="17" spans="18:24" x14ac:dyDescent="0.3">
      <c r="R17" s="30" t="str" cm="1">
        <f t="array" ref="R17:X35">IF('Pivot '!N4:T22="","",'Pivot '!N4:T22)</f>
        <v>Row Labels</v>
      </c>
      <c r="S17" s="31" t="str">
        <v>R01</v>
      </c>
      <c r="T17" s="31" t="str">
        <v>R02</v>
      </c>
      <c r="U17" s="31" t="str">
        <v>R03</v>
      </c>
      <c r="V17" s="31" t="str">
        <v>R04</v>
      </c>
      <c r="W17" s="31" t="str">
        <v>R05</v>
      </c>
      <c r="X17" s="31" t="str">
        <v>Grand Total</v>
      </c>
    </row>
    <row r="18" spans="18:24" x14ac:dyDescent="0.3">
      <c r="R18" s="31" t="str">
        <v>Cincinnati</v>
      </c>
      <c r="S18" s="31" t="str">
        <v/>
      </c>
      <c r="T18" s="31" t="str">
        <v/>
      </c>
      <c r="U18" s="31" t="str">
        <v/>
      </c>
      <c r="V18" s="31" t="str">
        <v/>
      </c>
      <c r="W18" s="31" t="str">
        <v/>
      </c>
      <c r="X18" s="31" t="str">
        <v/>
      </c>
    </row>
    <row r="19" spans="18:24" x14ac:dyDescent="0.3">
      <c r="R19" s="30" t="str">
        <v>C0003</v>
      </c>
      <c r="S19" s="32">
        <v>891</v>
      </c>
      <c r="T19" s="32">
        <v>1332</v>
      </c>
      <c r="U19" s="32">
        <v>1282</v>
      </c>
      <c r="V19" s="32">
        <v>739</v>
      </c>
      <c r="W19" s="32">
        <v>560</v>
      </c>
      <c r="X19" s="32">
        <v>4804</v>
      </c>
    </row>
    <row r="20" spans="18:24" x14ac:dyDescent="0.3">
      <c r="R20" s="30" t="str">
        <v>C0004</v>
      </c>
      <c r="S20" s="32">
        <v>1991</v>
      </c>
      <c r="T20" s="32">
        <v>1886</v>
      </c>
      <c r="U20" s="32">
        <v>1206</v>
      </c>
      <c r="V20" s="32">
        <v>884</v>
      </c>
      <c r="W20" s="32">
        <v>1722</v>
      </c>
      <c r="X20" s="32">
        <v>7689</v>
      </c>
    </row>
    <row r="21" spans="18:24" x14ac:dyDescent="0.3">
      <c r="R21" s="30" t="str">
        <v>C0011</v>
      </c>
      <c r="S21" s="32">
        <v>1163</v>
      </c>
      <c r="T21" s="32">
        <v>1180</v>
      </c>
      <c r="U21" s="32">
        <v>1616</v>
      </c>
      <c r="V21" s="32">
        <v>1043</v>
      </c>
      <c r="W21" s="32">
        <v>1747</v>
      </c>
      <c r="X21" s="32">
        <v>6749</v>
      </c>
    </row>
    <row r="22" spans="18:24" x14ac:dyDescent="0.3">
      <c r="R22" s="30" t="str">
        <v>C0012</v>
      </c>
      <c r="S22" s="32">
        <v>1438</v>
      </c>
      <c r="T22" s="32">
        <v>1616</v>
      </c>
      <c r="U22" s="32">
        <v>866</v>
      </c>
      <c r="V22" s="32">
        <v>829</v>
      </c>
      <c r="W22" s="32">
        <v>2070</v>
      </c>
      <c r="X22" s="32">
        <v>6819</v>
      </c>
    </row>
    <row r="23" spans="18:24" x14ac:dyDescent="0.3">
      <c r="R23" s="31" t="str">
        <v>Cleveland</v>
      </c>
      <c r="S23" s="32" t="str">
        <v/>
      </c>
      <c r="T23" s="32" t="str">
        <v/>
      </c>
      <c r="U23" s="32" t="str">
        <v/>
      </c>
      <c r="V23" s="32" t="str">
        <v/>
      </c>
      <c r="W23" s="32" t="str">
        <v/>
      </c>
      <c r="X23" s="32" t="str">
        <v/>
      </c>
    </row>
    <row r="24" spans="18:24" x14ac:dyDescent="0.3">
      <c r="R24" s="30" t="str">
        <v>C0002</v>
      </c>
      <c r="S24" s="32">
        <v>1233</v>
      </c>
      <c r="T24" s="32">
        <v>223</v>
      </c>
      <c r="U24" s="32">
        <v>1680</v>
      </c>
      <c r="V24" s="32">
        <v>990</v>
      </c>
      <c r="W24" s="32">
        <v>1508</v>
      </c>
      <c r="X24" s="32">
        <v>5634</v>
      </c>
    </row>
    <row r="25" spans="18:24" x14ac:dyDescent="0.3">
      <c r="R25" s="30" t="str">
        <v>C0007</v>
      </c>
      <c r="S25" s="32">
        <v>1598</v>
      </c>
      <c r="T25" s="32">
        <v>1907</v>
      </c>
      <c r="U25" s="32">
        <v>869</v>
      </c>
      <c r="V25" s="32">
        <v>1426</v>
      </c>
      <c r="W25" s="32">
        <v>1416</v>
      </c>
      <c r="X25" s="32">
        <v>7216</v>
      </c>
    </row>
    <row r="26" spans="18:24" x14ac:dyDescent="0.3">
      <c r="R26" s="30" t="str">
        <v>C0008</v>
      </c>
      <c r="S26" s="32">
        <v>900</v>
      </c>
      <c r="T26" s="32">
        <v>1016</v>
      </c>
      <c r="U26" s="32">
        <v>960</v>
      </c>
      <c r="V26" s="32">
        <v>940</v>
      </c>
      <c r="W26" s="32">
        <v>1193</v>
      </c>
      <c r="X26" s="32">
        <v>5009</v>
      </c>
    </row>
    <row r="27" spans="18:24" x14ac:dyDescent="0.3">
      <c r="R27" s="30" t="str">
        <v>C0010</v>
      </c>
      <c r="S27" s="32">
        <v>900</v>
      </c>
      <c r="T27" s="32">
        <v>1470</v>
      </c>
      <c r="U27" s="32">
        <v>1617</v>
      </c>
      <c r="V27" s="32">
        <v>1314</v>
      </c>
      <c r="W27" s="32">
        <v>941</v>
      </c>
      <c r="X27" s="32">
        <v>6242</v>
      </c>
    </row>
    <row r="28" spans="18:24" x14ac:dyDescent="0.3">
      <c r="R28" s="30" t="str">
        <v>C0013</v>
      </c>
      <c r="S28" s="32">
        <v>1255</v>
      </c>
      <c r="T28" s="32">
        <v>516</v>
      </c>
      <c r="U28" s="32">
        <v>1874</v>
      </c>
      <c r="V28" s="32">
        <v>1863</v>
      </c>
      <c r="W28" s="32">
        <v>1722</v>
      </c>
      <c r="X28" s="32">
        <v>7230</v>
      </c>
    </row>
    <row r="29" spans="18:24" x14ac:dyDescent="0.3">
      <c r="R29" s="30" t="str">
        <v>C0015</v>
      </c>
      <c r="S29" s="32">
        <v>1138</v>
      </c>
      <c r="T29" s="32">
        <v>1898</v>
      </c>
      <c r="U29" s="32">
        <v>1482</v>
      </c>
      <c r="V29" s="32">
        <v>846</v>
      </c>
      <c r="W29" s="32">
        <v>1154</v>
      </c>
      <c r="X29" s="32">
        <v>6518</v>
      </c>
    </row>
    <row r="30" spans="18:24" x14ac:dyDescent="0.3">
      <c r="R30" s="31" t="str">
        <v>Columbus</v>
      </c>
      <c r="S30" s="32" t="str">
        <v/>
      </c>
      <c r="T30" s="32" t="str">
        <v/>
      </c>
      <c r="U30" s="32" t="str">
        <v/>
      </c>
      <c r="V30" s="32" t="str">
        <v/>
      </c>
      <c r="W30" s="32" t="str">
        <v/>
      </c>
      <c r="X30" s="32" t="str">
        <v/>
      </c>
    </row>
    <row r="31" spans="18:24" x14ac:dyDescent="0.3">
      <c r="R31" s="30" t="str">
        <v>C0001</v>
      </c>
      <c r="S31" s="32">
        <v>1655</v>
      </c>
      <c r="T31" s="32">
        <v>805</v>
      </c>
      <c r="U31" s="32">
        <v>2263</v>
      </c>
      <c r="V31" s="32">
        <v>987</v>
      </c>
      <c r="W31" s="32">
        <v>1075</v>
      </c>
      <c r="X31" s="32">
        <v>6785</v>
      </c>
    </row>
    <row r="32" spans="18:24" x14ac:dyDescent="0.3">
      <c r="R32" s="30" t="str">
        <v>C0005</v>
      </c>
      <c r="S32" s="32">
        <v>1104</v>
      </c>
      <c r="T32" s="32">
        <v>2280</v>
      </c>
      <c r="U32" s="32">
        <v>1445</v>
      </c>
      <c r="V32" s="32">
        <v>1722</v>
      </c>
      <c r="W32" s="32">
        <v>1196</v>
      </c>
      <c r="X32" s="32">
        <v>7747</v>
      </c>
    </row>
    <row r="33" spans="17:24" x14ac:dyDescent="0.3">
      <c r="R33" s="30" t="str">
        <v>C0006</v>
      </c>
      <c r="S33" s="32">
        <v>372</v>
      </c>
      <c r="T33" s="32">
        <v>1818</v>
      </c>
      <c r="U33" s="32">
        <v>1346</v>
      </c>
      <c r="V33" s="32">
        <v>1156</v>
      </c>
      <c r="W33" s="32">
        <v>1484</v>
      </c>
      <c r="X33" s="32">
        <v>6176</v>
      </c>
    </row>
    <row r="34" spans="17:24" x14ac:dyDescent="0.3">
      <c r="R34" s="30" t="str">
        <v>C0009</v>
      </c>
      <c r="S34" s="32">
        <v>1415</v>
      </c>
      <c r="T34" s="32">
        <v>1271</v>
      </c>
      <c r="U34" s="32">
        <v>1214</v>
      </c>
      <c r="V34" s="32">
        <v>1135</v>
      </c>
      <c r="W34" s="32">
        <v>1566</v>
      </c>
      <c r="X34" s="32">
        <v>6601</v>
      </c>
    </row>
    <row r="35" spans="17:24" x14ac:dyDescent="0.3">
      <c r="R35" s="30" t="str">
        <v>C0014</v>
      </c>
      <c r="S35" s="32">
        <v>1362</v>
      </c>
      <c r="T35" s="32">
        <v>1363</v>
      </c>
      <c r="U35" s="32">
        <v>1152</v>
      </c>
      <c r="V35" s="32">
        <v>777</v>
      </c>
      <c r="W35" s="32">
        <v>750</v>
      </c>
      <c r="X35" s="32">
        <v>5404</v>
      </c>
    </row>
    <row r="38" spans="17:24" x14ac:dyDescent="0.3">
      <c r="Q38" s="31"/>
      <c r="R38" s="32"/>
      <c r="S38" s="32"/>
      <c r="T38" s="32"/>
      <c r="U38" s="32"/>
      <c r="V38" s="32"/>
      <c r="W38" s="32"/>
    </row>
  </sheetData>
  <phoneticPr fontId="2" type="noConversion"/>
  <conditionalFormatting sqref="R38:W38">
    <cfRule type="dataBar" priority="3">
      <dataBar>
        <cfvo type="min"/>
        <cfvo type="max"/>
        <color rgb="FF638EC6"/>
      </dataBar>
      <extLst>
        <ext xmlns:x14="http://schemas.microsoft.com/office/spreadsheetml/2009/9/main" uri="{B025F937-C7B1-47D3-B67F-A62EFF666E3E}">
          <x14:id>{AFB0C87B-DFEC-4CA9-AA7A-378673E47BBB}</x14:id>
        </ext>
      </extLst>
    </cfRule>
  </conditionalFormatting>
  <conditionalFormatting sqref="S19:W35">
    <cfRule type="dataBar" priority="2">
      <dataBar>
        <cfvo type="min"/>
        <cfvo type="max"/>
        <color rgb="FF638EC6"/>
      </dataBar>
      <extLst>
        <ext xmlns:x14="http://schemas.microsoft.com/office/spreadsheetml/2009/9/main" uri="{B025F937-C7B1-47D3-B67F-A62EFF666E3E}">
          <x14:id>{2C36916D-2BEA-48B0-9ED7-804D8F3654A5}</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FB0C87B-DFEC-4CA9-AA7A-378673E47BBB}">
            <x14:dataBar minLength="0" maxLength="100" gradient="0">
              <x14:cfvo type="autoMin"/>
              <x14:cfvo type="autoMax"/>
              <x14:negativeFillColor rgb="FFFF0000"/>
              <x14:axisColor rgb="FF000000"/>
            </x14:dataBar>
          </x14:cfRule>
          <xm:sqref>R38:W38</xm:sqref>
        </x14:conditionalFormatting>
        <x14:conditionalFormatting xmlns:xm="http://schemas.microsoft.com/office/excel/2006/main">
          <x14:cfRule type="dataBar" id="{2C36916D-2BEA-48B0-9ED7-804D8F3654A5}">
            <x14:dataBar minLength="0" maxLength="100" gradient="0">
              <x14:cfvo type="autoMin"/>
              <x14:cfvo type="autoMax"/>
              <x14:negativeFillColor rgb="FFFF0000"/>
              <x14:axisColor rgb="FF000000"/>
            </x14:dataBar>
          </x14:cfRule>
          <xm:sqref>S19:W35</xm:sqref>
        </x14:conditionalFormatting>
        <x14:conditionalFormatting xmlns:xm="http://schemas.microsoft.com/office/excel/2006/main">
          <x14:cfRule type="expression" priority="11" id="{265B076C-7354-4B1D-ABA7-50764D540822}">
            <xm:f>S$17='Pivot '!$L$25</xm:f>
            <x14:dxf>
              <fill>
                <patternFill>
                  <bgColor theme="0" tint="-0.499984740745262"/>
                </patternFill>
              </fill>
              <border>
                <left style="thin">
                  <color auto="1"/>
                </left>
                <right style="thin">
                  <color auto="1"/>
                </right>
                <vertical/>
                <horizontal/>
              </border>
            </x14:dxf>
          </x14:cfRule>
          <xm:sqref>S17:W35</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bala ganesh</cp:lastModifiedBy>
  <dcterms:created xsi:type="dcterms:W3CDTF">2021-03-14T20:21:32Z</dcterms:created>
  <dcterms:modified xsi:type="dcterms:W3CDTF">2026-09-29T13:35:26Z</dcterms:modified>
</cp:coreProperties>
</file>